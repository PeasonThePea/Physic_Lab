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"/>
    </mc:Choice>
  </mc:AlternateContent>
  <xr:revisionPtr revIDLastSave="0" documentId="13_ncr:1_{B59422E6-32B7-426F-A887-DD1968F0D99C}" xr6:coauthVersionLast="47" xr6:coauthVersionMax="47" xr10:uidLastSave="{00000000-0000-0000-0000-000000000000}"/>
  <bookViews>
    <workbookView xWindow="1812" yWindow="1812" windowWidth="17280" windowHeight="10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1" l="1"/>
  <c r="C49" i="1" s="1"/>
  <c r="C47" i="1"/>
  <c r="D46" i="1"/>
  <c r="D45" i="1"/>
  <c r="D44" i="1"/>
  <c r="D43" i="1"/>
  <c r="H26" i="1"/>
  <c r="H25" i="1"/>
  <c r="H24" i="1"/>
  <c r="H23" i="1"/>
  <c r="H16" i="1"/>
  <c r="H15" i="1"/>
  <c r="G17" i="1"/>
  <c r="H14" i="1"/>
  <c r="H13" i="1"/>
  <c r="H6" i="1"/>
  <c r="H5" i="1"/>
  <c r="H4" i="1"/>
  <c r="H3" i="1"/>
  <c r="D36" i="1"/>
  <c r="D35" i="1"/>
  <c r="D34" i="1"/>
  <c r="D33" i="1"/>
  <c r="D16" i="1"/>
  <c r="D15" i="1"/>
  <c r="D14" i="1"/>
  <c r="D13" i="1"/>
  <c r="D6" i="1"/>
  <c r="D5" i="1"/>
  <c r="D4" i="1"/>
  <c r="D3" i="1"/>
  <c r="G29" i="1"/>
  <c r="G19" i="1"/>
  <c r="G9" i="1"/>
  <c r="C39" i="1"/>
  <c r="C19" i="1"/>
  <c r="C9" i="1"/>
  <c r="G8" i="1"/>
  <c r="G28" i="1"/>
  <c r="G18" i="1"/>
  <c r="C38" i="1"/>
  <c r="C28" i="1"/>
  <c r="C18" i="1"/>
  <c r="C8" i="1"/>
  <c r="C37" i="1"/>
  <c r="G27" i="1"/>
  <c r="C27" i="1"/>
  <c r="D26" i="1" s="1"/>
  <c r="C17" i="1"/>
  <c r="G7" i="1"/>
  <c r="C7" i="1"/>
  <c r="C29" i="1" l="1"/>
  <c r="D23" i="1"/>
  <c r="D24" i="1"/>
  <c r="D25" i="1"/>
</calcChain>
</file>

<file path=xl/sharedStrings.xml><?xml version="1.0" encoding="utf-8"?>
<sst xmlns="http://schemas.openxmlformats.org/spreadsheetml/2006/main" count="78" uniqueCount="25">
  <si>
    <t>Single Sheet</t>
  </si>
  <si>
    <t>Average (</t>
  </si>
  <si>
    <t>)=</t>
  </si>
  <si>
    <t>% error=</t>
  </si>
  <si>
    <t>Digital Micrometer</t>
  </si>
  <si>
    <t>Diameter( )</t>
  </si>
  <si>
    <t>100 sheet</t>
  </si>
  <si>
    <t>Height</t>
  </si>
  <si>
    <t>Diameter</t>
  </si>
  <si>
    <t>Mass</t>
  </si>
  <si>
    <t>The can</t>
  </si>
  <si>
    <t>Diameter (  )</t>
  </si>
  <si>
    <t xml:space="preserve"> </t>
  </si>
  <si>
    <t>Digital Caliper</t>
  </si>
  <si>
    <t>100 Pages</t>
  </si>
  <si>
    <t>Page Thickness</t>
  </si>
  <si>
    <t>Mass(g)</t>
  </si>
  <si>
    <t>Height(mm)</t>
  </si>
  <si>
    <t>Thickness ( mm)</t>
  </si>
  <si>
    <t>Thickness (mm)</t>
  </si>
  <si>
    <t>Diameter(mm)</t>
  </si>
  <si>
    <t>Deviation (mm)</t>
  </si>
  <si>
    <t>Diameter (mm)</t>
  </si>
  <si>
    <r>
      <t>|</t>
    </r>
    <r>
      <rPr>
        <b/>
        <i/>
        <sz val="9"/>
        <color theme="1"/>
        <rFont val="Times New Roman"/>
        <family val="1"/>
      </rPr>
      <t>xi</t>
    </r>
    <r>
      <rPr>
        <b/>
        <sz val="9"/>
        <color theme="1"/>
        <rFont val="Times New Roman"/>
        <family val="1"/>
      </rPr>
      <t>-average|</t>
    </r>
  </si>
  <si>
    <r>
      <t>s</t>
    </r>
    <r>
      <rPr>
        <b/>
        <sz val="9"/>
        <color theme="1"/>
        <rFont val="Times New Roman"/>
        <family val="1"/>
      </rPr>
      <t>(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</si>
</sst>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b/>
      <i/>
      <sz val="9"/>
      <color rgb="FF1F497D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9" fontId="4" fillId="0" borderId="0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4" fillId="0" borderId="13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11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10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0" xfId="0" applyFont="1" applyBorder="1"/>
    <xf numFmtId="0" fontId="1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 indent="3"/>
    </xf>
    <xf numFmtId="0" fontId="3" fillId="0" borderId="0" xfId="0" applyFont="1" applyBorder="1" applyAlignment="1">
      <alignment horizontal="left" vertical="center" wrapText="1" indent="4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topLeftCell="A39" zoomScale="115" zoomScaleNormal="115" workbookViewId="0">
      <selection activeCell="C49" sqref="C49"/>
    </sheetView>
  </sheetViews>
  <sheetFormatPr defaultRowHeight="14.4" x14ac:dyDescent="0.3"/>
  <cols>
    <col min="1" max="1" width="8.77734375" bestFit="1" customWidth="1"/>
    <col min="2" max="2" width="2.88671875" bestFit="1" customWidth="1"/>
    <col min="3" max="3" width="14.33203125" customWidth="1"/>
    <col min="4" max="4" width="12.88671875" customWidth="1"/>
    <col min="5" max="5" width="8.77734375" bestFit="1" customWidth="1"/>
    <col min="6" max="6" width="2.88671875" bestFit="1" customWidth="1"/>
    <col min="7" max="7" width="13.33203125" customWidth="1"/>
    <col min="8" max="8" width="14.33203125" customWidth="1"/>
    <col min="11" max="11" width="5.44140625" bestFit="1" customWidth="1"/>
    <col min="12" max="12" width="8.88671875" bestFit="1" customWidth="1"/>
    <col min="13" max="13" width="9" bestFit="1" customWidth="1"/>
    <col min="15" max="15" width="15.44140625" customWidth="1"/>
    <col min="16" max="16" width="8.77734375" bestFit="1" customWidth="1"/>
    <col min="17" max="17" width="9" bestFit="1" customWidth="1"/>
  </cols>
  <sheetData>
    <row r="1" spans="1:17" ht="23.4" thickBot="1" x14ac:dyDescent="0.35">
      <c r="A1" s="18"/>
      <c r="B1" s="17"/>
      <c r="C1" s="30" t="s">
        <v>13</v>
      </c>
      <c r="D1" s="30" t="s">
        <v>21</v>
      </c>
      <c r="E1" s="18"/>
      <c r="F1" s="18"/>
      <c r="G1" s="31" t="s">
        <v>4</v>
      </c>
      <c r="H1" s="30" t="s">
        <v>21</v>
      </c>
      <c r="J1" s="20"/>
      <c r="K1" s="20"/>
      <c r="L1" s="9"/>
      <c r="M1" s="9"/>
      <c r="N1" s="20"/>
      <c r="O1" s="20"/>
      <c r="P1" s="9"/>
      <c r="Q1" s="9"/>
    </row>
    <row r="2" spans="1:17" ht="16.2" thickBot="1" x14ac:dyDescent="0.35">
      <c r="A2" s="18"/>
      <c r="B2" s="17"/>
      <c r="C2" s="32" t="s">
        <v>22</v>
      </c>
      <c r="D2" s="32" t="s">
        <v>23</v>
      </c>
      <c r="E2" s="18"/>
      <c r="F2" s="18"/>
      <c r="G2" s="33" t="s">
        <v>20</v>
      </c>
      <c r="H2" s="32" t="s">
        <v>23</v>
      </c>
      <c r="J2" s="20"/>
      <c r="K2" s="21"/>
      <c r="L2" s="9"/>
      <c r="M2" s="10"/>
      <c r="N2" s="21"/>
      <c r="O2" s="20"/>
      <c r="P2" s="9"/>
      <c r="Q2" s="10"/>
    </row>
    <row r="3" spans="1:17" ht="15" thickBot="1" x14ac:dyDescent="0.35">
      <c r="A3" s="18"/>
      <c r="B3" s="34">
        <v>1</v>
      </c>
      <c r="C3" s="16">
        <v>19.04</v>
      </c>
      <c r="D3" s="15">
        <f xml:space="preserve"> ABS(C3-C7)</f>
        <v>7.5000000000002842E-3</v>
      </c>
      <c r="E3" s="18"/>
      <c r="F3" s="35">
        <v>1</v>
      </c>
      <c r="G3" s="16">
        <v>19.042999999999999</v>
      </c>
      <c r="H3" s="15">
        <f>ABS(G3-G7)</f>
        <v>1.5000000000000568E-3</v>
      </c>
      <c r="J3" s="20"/>
      <c r="K3" s="9"/>
      <c r="L3" s="21"/>
      <c r="M3" s="21"/>
      <c r="N3" s="21"/>
      <c r="O3" s="9"/>
      <c r="P3" s="22"/>
      <c r="Q3" s="21"/>
    </row>
    <row r="4" spans="1:17" ht="15" thickBot="1" x14ac:dyDescent="0.35">
      <c r="A4" s="18"/>
      <c r="B4" s="34">
        <v>2</v>
      </c>
      <c r="C4" s="16">
        <v>19.02</v>
      </c>
      <c r="D4" s="15">
        <f xml:space="preserve"> ABS(C4-C7)</f>
        <v>1.2499999999999289E-2</v>
      </c>
      <c r="E4" s="18"/>
      <c r="F4" s="35">
        <v>2</v>
      </c>
      <c r="G4" s="16">
        <v>19.042000000000002</v>
      </c>
      <c r="H4" s="15">
        <f>ABS(G4-G7)</f>
        <v>5.0000000000238742E-4</v>
      </c>
      <c r="J4" s="20"/>
      <c r="K4" s="9"/>
      <c r="L4" s="21"/>
      <c r="M4" s="21"/>
      <c r="N4" s="21"/>
      <c r="O4" s="9"/>
      <c r="P4" s="21"/>
      <c r="Q4" s="21"/>
    </row>
    <row r="5" spans="1:17" ht="15" thickBot="1" x14ac:dyDescent="0.35">
      <c r="A5" s="18"/>
      <c r="B5" s="34">
        <v>3</v>
      </c>
      <c r="C5" s="16">
        <v>19.04</v>
      </c>
      <c r="D5" s="15">
        <f xml:space="preserve"> ABS(C5-C7)</f>
        <v>7.5000000000002842E-3</v>
      </c>
      <c r="E5" s="18"/>
      <c r="F5" s="35">
        <v>3</v>
      </c>
      <c r="G5" s="16">
        <v>19.041</v>
      </c>
      <c r="H5" s="15">
        <f>ABS(G5-G7)</f>
        <v>4.9999999999883471E-4</v>
      </c>
      <c r="J5" s="20"/>
      <c r="K5" s="9"/>
      <c r="L5" s="21"/>
      <c r="M5" s="21"/>
      <c r="N5" s="21"/>
      <c r="O5" s="9"/>
      <c r="P5" s="21"/>
      <c r="Q5" s="21"/>
    </row>
    <row r="6" spans="1:17" ht="15" thickBot="1" x14ac:dyDescent="0.35">
      <c r="A6" s="18"/>
      <c r="B6" s="34">
        <v>4</v>
      </c>
      <c r="C6" s="16">
        <v>19.03</v>
      </c>
      <c r="D6" s="15">
        <f xml:space="preserve"> ABS(C6-C7)</f>
        <v>2.4999999999977263E-3</v>
      </c>
      <c r="E6" s="18"/>
      <c r="F6" s="35">
        <v>4</v>
      </c>
      <c r="G6" s="16">
        <v>19.04</v>
      </c>
      <c r="H6" s="15">
        <f>ABS(G6-G7)</f>
        <v>1.5000000000000568E-3</v>
      </c>
      <c r="J6" s="20"/>
      <c r="K6" s="9"/>
      <c r="L6" s="21"/>
      <c r="M6" s="21"/>
      <c r="N6" s="21"/>
      <c r="O6" s="9"/>
      <c r="P6" s="21"/>
      <c r="Q6" s="21"/>
    </row>
    <row r="7" spans="1:17" ht="15" thickBot="1" x14ac:dyDescent="0.35">
      <c r="A7" s="35" t="s">
        <v>1</v>
      </c>
      <c r="B7" s="34" t="s">
        <v>2</v>
      </c>
      <c r="C7" s="15">
        <f>AVERAGE(C3:C6)</f>
        <v>19.032499999999999</v>
      </c>
      <c r="D7" s="36"/>
      <c r="E7" s="35" t="s">
        <v>1</v>
      </c>
      <c r="F7" s="35" t="s">
        <v>2</v>
      </c>
      <c r="G7" s="16">
        <f>AVERAGE(G3:G6)</f>
        <v>19.041499999999999</v>
      </c>
      <c r="H7" s="36"/>
      <c r="I7" t="s">
        <v>12</v>
      </c>
      <c r="J7" s="9"/>
      <c r="K7" s="9"/>
      <c r="L7" s="21"/>
      <c r="M7" s="20"/>
      <c r="N7" s="9"/>
      <c r="O7" s="9"/>
      <c r="P7" s="21"/>
      <c r="Q7" s="20"/>
    </row>
    <row r="8" spans="1:17" ht="15.6" thickBot="1" x14ac:dyDescent="0.35">
      <c r="A8" s="37" t="s">
        <v>24</v>
      </c>
      <c r="B8" s="34" t="s">
        <v>2</v>
      </c>
      <c r="C8" s="15">
        <f>_xlfn.STDEV.S(C3:C6)</f>
        <v>9.5742710775630225E-3</v>
      </c>
      <c r="D8" s="38"/>
      <c r="E8" s="37" t="s">
        <v>24</v>
      </c>
      <c r="F8" s="35" t="s">
        <v>2</v>
      </c>
      <c r="G8" s="16">
        <f>_xlfn.STDEV.S(G3:G6)</f>
        <v>1.2909944487360075E-3</v>
      </c>
      <c r="H8" s="38"/>
      <c r="J8" s="23"/>
      <c r="K8" s="9"/>
      <c r="L8" s="20"/>
      <c r="M8" s="20"/>
      <c r="N8" s="23"/>
      <c r="O8" s="9"/>
      <c r="P8" s="20"/>
      <c r="Q8" s="20"/>
    </row>
    <row r="9" spans="1:17" ht="15" thickBot="1" x14ac:dyDescent="0.35">
      <c r="A9" s="35" t="s">
        <v>3</v>
      </c>
      <c r="B9" s="34"/>
      <c r="C9" s="15">
        <f>C8/C7*100</f>
        <v>5.0304852633984092E-2</v>
      </c>
      <c r="D9" s="38"/>
      <c r="E9" s="35" t="s">
        <v>3</v>
      </c>
      <c r="F9" s="35"/>
      <c r="G9" s="19">
        <f>G8/G7*100</f>
        <v>6.7798988983851453E-3</v>
      </c>
      <c r="H9" s="39"/>
      <c r="J9" s="9"/>
      <c r="K9" s="9"/>
      <c r="L9" s="21"/>
      <c r="M9" s="20"/>
      <c r="N9" s="9"/>
      <c r="O9" s="9"/>
      <c r="P9" s="21"/>
      <c r="Q9" s="20"/>
    </row>
    <row r="10" spans="1:17" ht="15" thickBot="1" x14ac:dyDescent="0.35">
      <c r="A10" s="40"/>
      <c r="B10" s="41"/>
      <c r="C10" s="41"/>
      <c r="D10" s="41"/>
      <c r="E10" s="41"/>
      <c r="F10" s="41"/>
      <c r="G10" s="41"/>
      <c r="H10" s="41"/>
    </row>
    <row r="11" spans="1:17" ht="15" thickBot="1" x14ac:dyDescent="0.35">
      <c r="A11" s="14"/>
      <c r="B11" s="13"/>
      <c r="C11" s="30" t="s">
        <v>0</v>
      </c>
      <c r="D11" s="30" t="s">
        <v>21</v>
      </c>
      <c r="E11" s="14"/>
      <c r="F11" s="14"/>
      <c r="G11" s="31" t="s">
        <v>14</v>
      </c>
      <c r="H11" s="30" t="s">
        <v>21</v>
      </c>
    </row>
    <row r="12" spans="1:17" ht="15" thickBot="1" x14ac:dyDescent="0.35">
      <c r="A12" s="14"/>
      <c r="B12" s="13"/>
      <c r="C12" s="32" t="s">
        <v>18</v>
      </c>
      <c r="D12" s="32" t="s">
        <v>23</v>
      </c>
      <c r="E12" s="14"/>
      <c r="F12" s="14"/>
      <c r="G12" s="33" t="s">
        <v>19</v>
      </c>
      <c r="H12" s="42" t="s">
        <v>23</v>
      </c>
    </row>
    <row r="13" spans="1:17" ht="15" thickBot="1" x14ac:dyDescent="0.35">
      <c r="A13" s="14"/>
      <c r="B13" s="42">
        <v>1</v>
      </c>
      <c r="C13" s="54">
        <v>6.5000000000000002E-2</v>
      </c>
      <c r="D13" s="2">
        <f>ABS(C13-C17)</f>
        <v>3.2500000000000029E-3</v>
      </c>
      <c r="E13" s="14"/>
      <c r="F13" s="43">
        <v>1</v>
      </c>
      <c r="G13" s="54">
        <v>6.4</v>
      </c>
      <c r="H13" s="29">
        <f>ABS(G13-G17)</f>
        <v>8.9999999999999858E-2</v>
      </c>
    </row>
    <row r="14" spans="1:17" ht="15" thickBot="1" x14ac:dyDescent="0.35">
      <c r="A14" s="14"/>
      <c r="B14" s="42">
        <v>2</v>
      </c>
      <c r="C14" s="16">
        <v>6.2E-2</v>
      </c>
      <c r="D14" s="2">
        <f>ABS(C14-C17)</f>
        <v>6.2500000000000056E-3</v>
      </c>
      <c r="E14" s="14"/>
      <c r="F14" s="43">
        <v>2</v>
      </c>
      <c r="G14" s="16">
        <v>6.49</v>
      </c>
      <c r="H14" s="29">
        <f xml:space="preserve"> ABS(G17-G14)</f>
        <v>0</v>
      </c>
    </row>
    <row r="15" spans="1:17" ht="15" thickBot="1" x14ac:dyDescent="0.35">
      <c r="A15" s="14"/>
      <c r="B15" s="42">
        <v>3</v>
      </c>
      <c r="C15" s="16">
        <v>7.5999999999999998E-2</v>
      </c>
      <c r="D15" s="2">
        <f>ABS(C15-C17)</f>
        <v>7.749999999999993E-3</v>
      </c>
      <c r="E15" s="14"/>
      <c r="F15" s="43">
        <v>3</v>
      </c>
      <c r="G15" s="55">
        <v>6.57</v>
      </c>
      <c r="H15" s="29">
        <f>ABS(G15-G17)</f>
        <v>8.0000000000000071E-2</v>
      </c>
    </row>
    <row r="16" spans="1:17" ht="15" thickBot="1" x14ac:dyDescent="0.35">
      <c r="A16" s="14"/>
      <c r="B16" s="42">
        <v>4</v>
      </c>
      <c r="C16" s="24">
        <v>7.0000000000000007E-2</v>
      </c>
      <c r="D16" s="2">
        <f>ABS(C16-C17)</f>
        <v>1.7500000000000016E-3</v>
      </c>
      <c r="E16" s="14"/>
      <c r="F16" s="43">
        <v>4</v>
      </c>
      <c r="G16" s="56">
        <v>6.5</v>
      </c>
      <c r="H16" s="29">
        <f>ABS(G16-G17)</f>
        <v>9.9999999999997868E-3</v>
      </c>
    </row>
    <row r="17" spans="1:24" ht="15" thickBot="1" x14ac:dyDescent="0.35">
      <c r="A17" s="43" t="s">
        <v>1</v>
      </c>
      <c r="B17" s="42" t="s">
        <v>2</v>
      </c>
      <c r="C17" s="15">
        <f>AVERAGE(C13:C16)</f>
        <v>6.8250000000000005E-2</v>
      </c>
      <c r="D17" s="38"/>
      <c r="E17" s="43" t="s">
        <v>1</v>
      </c>
      <c r="F17" s="43" t="s">
        <v>2</v>
      </c>
      <c r="G17" s="16">
        <f>AVERAGE(G13:G16)</f>
        <v>6.49</v>
      </c>
      <c r="H17" s="38"/>
    </row>
    <row r="18" spans="1:24" ht="15" thickBot="1" x14ac:dyDescent="0.35">
      <c r="A18" s="44" t="s">
        <v>24</v>
      </c>
      <c r="B18" s="42" t="s">
        <v>2</v>
      </c>
      <c r="C18" s="15">
        <f>_xlfn.STDEV.S(C13:C16)</f>
        <v>6.1305247192498394E-3</v>
      </c>
      <c r="D18" s="38"/>
      <c r="E18" s="44" t="s">
        <v>24</v>
      </c>
      <c r="F18" s="43" t="s">
        <v>2</v>
      </c>
      <c r="G18" s="16">
        <f>_xlfn.STDEV.S(G13:G16)</f>
        <v>6.9761498454854451E-2</v>
      </c>
      <c r="H18" s="38"/>
    </row>
    <row r="19" spans="1:24" ht="15" thickBot="1" x14ac:dyDescent="0.35">
      <c r="A19" s="43" t="s">
        <v>3</v>
      </c>
      <c r="B19" s="42"/>
      <c r="C19" s="15">
        <f>C18/C17*100</f>
        <v>8.9824538010986643</v>
      </c>
      <c r="D19" s="38"/>
      <c r="E19" s="43" t="s">
        <v>3</v>
      </c>
      <c r="F19" s="43"/>
      <c r="G19" s="24">
        <f>G18/G17*100</f>
        <v>1.0749075262689438</v>
      </c>
      <c r="H19" s="45" t="s">
        <v>15</v>
      </c>
    </row>
    <row r="20" spans="1:24" ht="27.6" customHeight="1" thickBot="1" x14ac:dyDescent="0.35">
      <c r="A20" s="41"/>
      <c r="B20" s="41"/>
      <c r="C20" s="46"/>
      <c r="D20" s="41"/>
      <c r="E20" s="41"/>
      <c r="F20" s="41"/>
      <c r="G20" s="46"/>
      <c r="H20" s="41"/>
      <c r="K20" s="4" t="s">
        <v>11</v>
      </c>
      <c r="L20" s="5" t="s">
        <v>5</v>
      </c>
      <c r="O20" t="s">
        <v>0</v>
      </c>
      <c r="Q20" t="s">
        <v>6</v>
      </c>
      <c r="S20" t="s">
        <v>7</v>
      </c>
      <c r="T20" t="s">
        <v>8</v>
      </c>
      <c r="V20" t="s">
        <v>9</v>
      </c>
    </row>
    <row r="21" spans="1:24" ht="15" thickBot="1" x14ac:dyDescent="0.35">
      <c r="A21" s="14"/>
      <c r="B21" s="21"/>
      <c r="C21" s="32"/>
      <c r="D21" s="30" t="s">
        <v>21</v>
      </c>
      <c r="E21" s="14"/>
      <c r="F21" s="21"/>
      <c r="G21" s="32"/>
      <c r="H21" s="30" t="s">
        <v>21</v>
      </c>
      <c r="K21" s="1">
        <v>19.04</v>
      </c>
      <c r="L21" s="1">
        <v>19.042999999999999</v>
      </c>
      <c r="O21" s="2">
        <v>6.5000000000000002E-2</v>
      </c>
      <c r="Q21" s="2">
        <v>6.4</v>
      </c>
      <c r="S21">
        <v>121.91</v>
      </c>
      <c r="T21">
        <v>65.48</v>
      </c>
      <c r="V21">
        <v>368.5</v>
      </c>
      <c r="X21" t="s">
        <v>10</v>
      </c>
    </row>
    <row r="22" spans="1:24" ht="15" thickBot="1" x14ac:dyDescent="0.35">
      <c r="A22" s="14"/>
      <c r="B22" s="13"/>
      <c r="C22" s="42" t="s">
        <v>17</v>
      </c>
      <c r="D22" s="32" t="s">
        <v>23</v>
      </c>
      <c r="E22" s="14"/>
      <c r="F22" s="14"/>
      <c r="G22" s="47" t="s">
        <v>22</v>
      </c>
      <c r="H22" s="32" t="s">
        <v>23</v>
      </c>
      <c r="K22" s="1">
        <v>19.02</v>
      </c>
      <c r="L22" s="1">
        <v>19.042000000000002</v>
      </c>
      <c r="O22" s="1">
        <v>6.2E-2</v>
      </c>
      <c r="Q22" s="1">
        <v>6.49</v>
      </c>
      <c r="S22">
        <v>121.23</v>
      </c>
      <c r="T22">
        <v>65.55</v>
      </c>
      <c r="V22">
        <v>368.6</v>
      </c>
      <c r="X22">
        <v>16.2</v>
      </c>
    </row>
    <row r="23" spans="1:24" ht="15" thickBot="1" x14ac:dyDescent="0.35">
      <c r="A23" s="14"/>
      <c r="B23" s="48">
        <v>1</v>
      </c>
      <c r="C23" s="52">
        <v>121.91</v>
      </c>
      <c r="D23" s="15">
        <f>ABS(C23-C27)</f>
        <v>0.21749999999998693</v>
      </c>
      <c r="E23" s="14"/>
      <c r="F23" s="43">
        <v>1</v>
      </c>
      <c r="G23" s="52">
        <v>65.48</v>
      </c>
      <c r="H23" s="15">
        <f>ABS(G23-G27)</f>
        <v>0.16249999999999432</v>
      </c>
      <c r="K23" s="1">
        <v>19.04</v>
      </c>
      <c r="L23" s="1">
        <v>19.041</v>
      </c>
      <c r="O23" s="1">
        <v>7.5999999999999998E-2</v>
      </c>
      <c r="Q23" s="1">
        <v>6.57</v>
      </c>
      <c r="S23">
        <v>121.84</v>
      </c>
      <c r="T23">
        <v>65.67</v>
      </c>
      <c r="V23">
        <v>356.6</v>
      </c>
    </row>
    <row r="24" spans="1:24" ht="15" thickBot="1" x14ac:dyDescent="0.35">
      <c r="A24" s="14"/>
      <c r="B24" s="48">
        <v>2</v>
      </c>
      <c r="C24" s="52">
        <v>121.23</v>
      </c>
      <c r="D24" s="15">
        <f>ABS(C24-C27)</f>
        <v>0.46250000000000568</v>
      </c>
      <c r="E24" s="14"/>
      <c r="F24" s="43">
        <v>2</v>
      </c>
      <c r="G24" s="52">
        <v>65.55</v>
      </c>
      <c r="H24" s="15">
        <f>ABS(G24-G27)</f>
        <v>9.2500000000001137E-2</v>
      </c>
      <c r="K24" s="1">
        <v>19.03</v>
      </c>
      <c r="L24" s="1">
        <v>19.04</v>
      </c>
      <c r="O24" s="1">
        <v>7.0000000000000007E-2</v>
      </c>
      <c r="Q24" s="3">
        <v>6.5</v>
      </c>
      <c r="S24">
        <v>121.79</v>
      </c>
      <c r="T24">
        <v>65.87</v>
      </c>
      <c r="V24">
        <v>368.5</v>
      </c>
    </row>
    <row r="25" spans="1:24" ht="15" thickBot="1" x14ac:dyDescent="0.35">
      <c r="A25" s="14"/>
      <c r="B25" s="48">
        <v>3</v>
      </c>
      <c r="C25" s="52">
        <v>121.84</v>
      </c>
      <c r="D25" s="15">
        <f>ABS(C25-C27)</f>
        <v>0.14749999999999375</v>
      </c>
      <c r="E25" s="14"/>
      <c r="F25" s="43">
        <v>3</v>
      </c>
      <c r="G25" s="52">
        <v>65.67</v>
      </c>
      <c r="H25" s="15">
        <f>ABS(G25-G27)</f>
        <v>2.7500000000003411E-2</v>
      </c>
    </row>
    <row r="26" spans="1:24" ht="15" thickBot="1" x14ac:dyDescent="0.35">
      <c r="A26" s="14"/>
      <c r="B26" s="48">
        <v>4</v>
      </c>
      <c r="C26" s="52">
        <v>121.79</v>
      </c>
      <c r="D26" s="15">
        <f>ABS(C26-C27)</f>
        <v>9.7499999999996589E-2</v>
      </c>
      <c r="E26" s="14"/>
      <c r="F26" s="43">
        <v>4</v>
      </c>
      <c r="G26" s="52">
        <v>65.87</v>
      </c>
      <c r="H26" s="15">
        <f>ABS(G26-G27)</f>
        <v>0.22750000000000625</v>
      </c>
    </row>
    <row r="27" spans="1:24" ht="15" thickBot="1" x14ac:dyDescent="0.35">
      <c r="A27" s="43" t="s">
        <v>1</v>
      </c>
      <c r="B27" s="42" t="s">
        <v>2</v>
      </c>
      <c r="C27" s="15">
        <f>AVERAGE(C23:C26)</f>
        <v>121.69250000000001</v>
      </c>
      <c r="D27" s="36"/>
      <c r="E27" s="43" t="s">
        <v>1</v>
      </c>
      <c r="F27" s="43" t="s">
        <v>2</v>
      </c>
      <c r="G27" s="16">
        <f>AVERAGE(G23:G26)</f>
        <v>65.642499999999998</v>
      </c>
      <c r="H27" s="36"/>
    </row>
    <row r="28" spans="1:24" ht="15" thickBot="1" x14ac:dyDescent="0.35">
      <c r="A28" s="44" t="s">
        <v>24</v>
      </c>
      <c r="B28" s="42" t="s">
        <v>2</v>
      </c>
      <c r="C28" s="57">
        <f>_xlfn.STDEV.S(C23:C26)</f>
        <v>0.31223655562196057</v>
      </c>
      <c r="D28" s="38"/>
      <c r="E28" s="44" t="s">
        <v>24</v>
      </c>
      <c r="F28" s="43" t="s">
        <v>2</v>
      </c>
      <c r="G28" s="16">
        <f>_xlfn.STDEV.S(G23:G26)</f>
        <v>0.17075811352124326</v>
      </c>
      <c r="H28" s="38"/>
    </row>
    <row r="29" spans="1:24" ht="15" thickBot="1" x14ac:dyDescent="0.35">
      <c r="A29" s="43" t="s">
        <v>3</v>
      </c>
      <c r="B29" s="42"/>
      <c r="C29" s="15">
        <f>C28/C27*100</f>
        <v>0.2565783064872203</v>
      </c>
      <c r="D29" s="38"/>
      <c r="E29" s="43" t="s">
        <v>3</v>
      </c>
      <c r="F29" s="43"/>
      <c r="G29" s="24">
        <f>G28/G27*100</f>
        <v>0.26013347072589138</v>
      </c>
      <c r="H29" s="49"/>
      <c r="I29" s="25"/>
    </row>
    <row r="30" spans="1:24" ht="15" thickBot="1" x14ac:dyDescent="0.35">
      <c r="A30" s="41"/>
      <c r="B30" s="41"/>
      <c r="C30" s="41"/>
      <c r="D30" s="41"/>
      <c r="E30" s="41"/>
      <c r="F30" s="41"/>
      <c r="G30" s="41"/>
      <c r="H30" s="50"/>
    </row>
    <row r="31" spans="1:24" ht="16.2" thickBot="1" x14ac:dyDescent="0.35">
      <c r="A31" s="14"/>
      <c r="B31" s="21"/>
      <c r="C31" s="32"/>
      <c r="D31" s="30" t="s">
        <v>21</v>
      </c>
      <c r="E31" s="41"/>
      <c r="F31" s="41"/>
      <c r="G31" s="41"/>
      <c r="H31" s="41"/>
      <c r="K31" s="6"/>
    </row>
    <row r="32" spans="1:24" ht="15" thickBot="1" x14ac:dyDescent="0.35">
      <c r="A32" s="14"/>
      <c r="B32" s="13"/>
      <c r="C32" s="42" t="s">
        <v>16</v>
      </c>
      <c r="D32" s="32" t="s">
        <v>23</v>
      </c>
      <c r="E32" s="41"/>
      <c r="F32" s="41"/>
      <c r="G32" s="41"/>
      <c r="H32" s="41"/>
      <c r="K32" s="7"/>
    </row>
    <row r="33" spans="1:18" ht="16.2" thickBot="1" x14ac:dyDescent="0.35">
      <c r="A33" s="14"/>
      <c r="B33" s="48">
        <v>1</v>
      </c>
      <c r="C33" s="51">
        <v>368.5</v>
      </c>
      <c r="D33" s="15">
        <f>ABS(C33-C37)</f>
        <v>2.9499999999999886</v>
      </c>
      <c r="E33" s="41"/>
      <c r="F33" s="41"/>
      <c r="G33" s="41"/>
      <c r="H33" s="41"/>
      <c r="K33" s="8"/>
    </row>
    <row r="34" spans="1:18" ht="15" thickBot="1" x14ac:dyDescent="0.35">
      <c r="A34" s="14"/>
      <c r="B34" s="48">
        <v>2</v>
      </c>
      <c r="C34" s="52">
        <v>368.6</v>
      </c>
      <c r="D34" s="15">
        <f>ABS(C34-C37)</f>
        <v>3.0500000000000114</v>
      </c>
      <c r="E34" s="41"/>
      <c r="F34" s="41"/>
      <c r="G34" s="41"/>
      <c r="H34" s="41"/>
      <c r="K34" s="26"/>
      <c r="L34" s="25"/>
      <c r="M34" s="25"/>
      <c r="N34" s="25"/>
      <c r="O34" s="25"/>
      <c r="P34" s="25"/>
    </row>
    <row r="35" spans="1:18" ht="15" thickBot="1" x14ac:dyDescent="0.35">
      <c r="A35" s="14"/>
      <c r="B35" s="48">
        <v>3</v>
      </c>
      <c r="C35" s="52">
        <v>356.6</v>
      </c>
      <c r="D35" s="15">
        <f>ABS(C35-C37)</f>
        <v>8.9499999999999886</v>
      </c>
      <c r="E35" s="41"/>
      <c r="F35" s="41"/>
      <c r="G35" s="41"/>
      <c r="H35" s="41"/>
      <c r="K35" s="58"/>
      <c r="L35" s="12"/>
      <c r="M35" s="9"/>
      <c r="N35" s="9"/>
      <c r="O35" s="12"/>
      <c r="P35" s="58"/>
    </row>
    <row r="36" spans="1:18" ht="16.2" thickBot="1" x14ac:dyDescent="0.35">
      <c r="A36" s="14"/>
      <c r="B36" s="48">
        <v>4</v>
      </c>
      <c r="C36" s="53">
        <v>368.5</v>
      </c>
      <c r="D36" s="15">
        <f>ABS(C36-C47)</f>
        <v>5.0000000000011369E-2</v>
      </c>
      <c r="E36" s="41"/>
      <c r="F36" s="41"/>
      <c r="G36" s="41"/>
      <c r="H36" s="41"/>
      <c r="K36" s="58"/>
      <c r="L36" s="11"/>
      <c r="M36" s="9"/>
      <c r="N36" s="10"/>
      <c r="O36" s="11"/>
      <c r="P36" s="58"/>
    </row>
    <row r="37" spans="1:18" ht="15" thickBot="1" x14ac:dyDescent="0.35">
      <c r="A37" s="43" t="s">
        <v>1</v>
      </c>
      <c r="B37" s="42" t="s">
        <v>2</v>
      </c>
      <c r="C37" s="15">
        <f>AVERAGE(C33:C36)</f>
        <v>365.55</v>
      </c>
      <c r="D37" s="36"/>
      <c r="E37" s="41"/>
      <c r="F37" s="41"/>
      <c r="G37" s="41"/>
      <c r="H37" s="41"/>
      <c r="K37" s="58"/>
      <c r="L37" s="27"/>
      <c r="M37" s="11"/>
      <c r="N37" s="11"/>
      <c r="O37" s="11"/>
      <c r="P37" s="9"/>
      <c r="R37" s="25"/>
    </row>
    <row r="38" spans="1:18" ht="15" thickBot="1" x14ac:dyDescent="0.35">
      <c r="A38" s="44" t="s">
        <v>24</v>
      </c>
      <c r="B38" s="42" t="s">
        <v>2</v>
      </c>
      <c r="C38" s="15">
        <f>_xlfn.STDEV.S(C33:C36)</f>
        <v>5.9668528835000814</v>
      </c>
      <c r="D38" s="38"/>
      <c r="E38" s="41"/>
      <c r="F38" s="41"/>
      <c r="G38" s="41"/>
      <c r="H38" s="41"/>
      <c r="K38" s="58"/>
      <c r="L38" s="27"/>
      <c r="M38" s="11"/>
      <c r="N38" s="11"/>
      <c r="O38" s="11"/>
      <c r="P38" s="9"/>
    </row>
    <row r="39" spans="1:18" ht="15" thickBot="1" x14ac:dyDescent="0.35">
      <c r="A39" s="43" t="s">
        <v>3</v>
      </c>
      <c r="B39" s="42"/>
      <c r="C39" s="15">
        <f>C38/C37*100</f>
        <v>1.6322945926686039</v>
      </c>
      <c r="D39" s="38"/>
      <c r="E39" s="41"/>
      <c r="F39" s="41"/>
      <c r="G39" s="41"/>
      <c r="H39" s="41"/>
      <c r="K39" s="58"/>
      <c r="L39" s="27"/>
      <c r="M39" s="11"/>
      <c r="N39" s="11"/>
      <c r="O39" s="11"/>
      <c r="P39" s="9"/>
    </row>
    <row r="40" spans="1:18" ht="15" thickBot="1" x14ac:dyDescent="0.35">
      <c r="K40" s="58"/>
      <c r="L40" s="27"/>
      <c r="M40" s="11"/>
      <c r="N40" s="11"/>
      <c r="O40" s="11"/>
      <c r="P40" s="9"/>
    </row>
    <row r="41" spans="1:18" ht="15" thickBot="1" x14ac:dyDescent="0.35">
      <c r="A41" s="14"/>
      <c r="B41" s="21"/>
      <c r="C41" s="32"/>
      <c r="D41" s="30" t="s">
        <v>21</v>
      </c>
      <c r="K41" s="27"/>
      <c r="L41" s="27"/>
      <c r="M41" s="11"/>
      <c r="N41" s="58"/>
      <c r="O41" s="27"/>
      <c r="P41" s="9"/>
    </row>
    <row r="42" spans="1:18" ht="15.6" thickBot="1" x14ac:dyDescent="0.35">
      <c r="A42" s="14"/>
      <c r="B42" s="13"/>
      <c r="C42" s="42" t="s">
        <v>16</v>
      </c>
      <c r="D42" s="32" t="s">
        <v>23</v>
      </c>
      <c r="K42" s="28"/>
      <c r="L42" s="27"/>
      <c r="M42" s="12"/>
      <c r="N42" s="58"/>
      <c r="O42" s="28"/>
      <c r="P42" s="9"/>
    </row>
    <row r="43" spans="1:18" ht="15" thickBot="1" x14ac:dyDescent="0.35">
      <c r="A43" s="14"/>
      <c r="B43" s="48">
        <v>1</v>
      </c>
      <c r="C43" s="51">
        <v>368.5</v>
      </c>
      <c r="D43" s="15">
        <f>ABS(C43-C47)</f>
        <v>5.0000000000011369E-2</v>
      </c>
      <c r="K43" s="59"/>
      <c r="L43" s="59"/>
      <c r="M43" s="11"/>
      <c r="N43" s="58"/>
      <c r="O43" s="60"/>
      <c r="P43" s="60"/>
    </row>
    <row r="44" spans="1:18" ht="15" thickBot="1" x14ac:dyDescent="0.35">
      <c r="A44" s="14"/>
      <c r="B44" s="48">
        <v>2</v>
      </c>
      <c r="C44" s="52">
        <v>368.6</v>
      </c>
      <c r="D44" s="15">
        <f>ABS(C44-C47)</f>
        <v>5.0000000000011369E-2</v>
      </c>
    </row>
    <row r="45" spans="1:18" ht="15" thickBot="1" x14ac:dyDescent="0.35">
      <c r="A45" s="14"/>
      <c r="B45" s="48">
        <v>3</v>
      </c>
      <c r="C45" s="52">
        <v>368.6</v>
      </c>
      <c r="D45" s="15">
        <f>ABS(C45-C47)</f>
        <v>5.0000000000011369E-2</v>
      </c>
    </row>
    <row r="46" spans="1:18" ht="15" thickBot="1" x14ac:dyDescent="0.35">
      <c r="A46" s="14"/>
      <c r="B46" s="48">
        <v>4</v>
      </c>
      <c r="C46" s="53">
        <v>368.5</v>
      </c>
      <c r="D46" s="15">
        <f>ABS(C46-C57)</f>
        <v>368.5</v>
      </c>
    </row>
    <row r="47" spans="1:18" ht="15" thickBot="1" x14ac:dyDescent="0.35">
      <c r="A47" s="43" t="s">
        <v>1</v>
      </c>
      <c r="B47" s="42" t="s">
        <v>2</v>
      </c>
      <c r="C47" s="15">
        <f>AVERAGE(C43:C46)</f>
        <v>368.55</v>
      </c>
      <c r="D47" s="36"/>
    </row>
    <row r="48" spans="1:18" ht="15" thickBot="1" x14ac:dyDescent="0.35">
      <c r="A48" s="44" t="s">
        <v>24</v>
      </c>
      <c r="B48" s="42" t="s">
        <v>2</v>
      </c>
      <c r="C48" s="15">
        <f>_xlfn.STDEV.S(C43:C46)</f>
        <v>5.7735026918975703E-2</v>
      </c>
      <c r="D48" s="38"/>
    </row>
    <row r="49" spans="1:4" ht="15" thickBot="1" x14ac:dyDescent="0.35">
      <c r="A49" s="43" t="s">
        <v>3</v>
      </c>
      <c r="B49" s="42"/>
      <c r="C49" s="15">
        <f>C48/C47*100</f>
        <v>1.5665452969468377E-2</v>
      </c>
      <c r="D49" s="38"/>
    </row>
  </sheetData>
  <mergeCells count="5">
    <mergeCell ref="K35:K40"/>
    <mergeCell ref="P35:P36"/>
    <mergeCell ref="N41:N43"/>
    <mergeCell ref="K43:L43"/>
    <mergeCell ref="O43:P4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 Nguyen</dc:creator>
  <cp:lastModifiedBy>Peason_Nguyen</cp:lastModifiedBy>
  <dcterms:created xsi:type="dcterms:W3CDTF">2015-06-05T18:17:20Z</dcterms:created>
  <dcterms:modified xsi:type="dcterms:W3CDTF">2026-09-05T23:39:48Z</dcterms:modified>
</cp:coreProperties>
</file>