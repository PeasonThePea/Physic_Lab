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/>
  <mc:AlternateContent xmlns:mc="http://schemas.openxmlformats.org/markup-compatibility/2006">
    <mc:Choice Requires="x15">
      <x15ac:absPath xmlns:x15ac="http://schemas.microsoft.com/office/spreadsheetml/2010/11/ac" url="C:\Users\Ngocb\Downloads\Book\Education\Cources\Physic Lab\Lab Assignment\Week 5\"/>
    </mc:Choice>
  </mc:AlternateContent>
  <xr:revisionPtr revIDLastSave="0" documentId="13_ncr:1_{CBFEF8BA-CB62-4822-807A-78A35B36D1A0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04-Forces and Vectors Lab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43" i="1" l="1"/>
  <c r="M14" i="1"/>
  <c r="L14" i="1"/>
  <c r="M13" i="1"/>
  <c r="L13" i="1"/>
  <c r="L15" i="1" s="1"/>
  <c r="E4" i="2"/>
  <c r="D4" i="2"/>
  <c r="C4" i="2"/>
  <c r="C6" i="2" s="1"/>
  <c r="B4" i="2"/>
  <c r="B7" i="2" s="1"/>
  <c r="E3" i="2"/>
  <c r="D3" i="2"/>
  <c r="E2" i="2"/>
  <c r="D2" i="2"/>
  <c r="E40" i="1"/>
  <c r="D40" i="1"/>
  <c r="E39" i="1"/>
  <c r="D39" i="1"/>
  <c r="D41" i="1" s="1"/>
  <c r="E3" i="1"/>
  <c r="D10" i="1" s="1"/>
  <c r="D3" i="1"/>
  <c r="C10" i="1" s="1"/>
  <c r="E2" i="1"/>
  <c r="E4" i="1" s="1"/>
  <c r="F10" i="1" s="1"/>
  <c r="D2" i="1"/>
  <c r="E41" i="1" l="1"/>
  <c r="C41" i="1" s="1"/>
  <c r="C43" i="1" s="1"/>
  <c r="M15" i="1"/>
  <c r="K15" i="1"/>
  <c r="K17" i="1" s="1"/>
  <c r="J15" i="1"/>
  <c r="D4" i="1"/>
  <c r="E10" i="1" s="1"/>
  <c r="B41" i="1"/>
  <c r="A10" i="1"/>
  <c r="B10" i="1"/>
  <c r="B6" i="2"/>
  <c r="J18" i="1" l="1"/>
  <c r="J17" i="1"/>
  <c r="B4" i="1"/>
  <c r="B6" i="1" s="1"/>
  <c r="C4" i="1"/>
  <c r="C6" i="1" s="1"/>
  <c r="B44" i="1"/>
  <c r="B7" i="1" l="1"/>
</calcChain>
</file>

<file path=xl/sharedStrings.xml><?xml version="1.0" encoding="utf-8"?>
<sst xmlns="http://schemas.openxmlformats.org/spreadsheetml/2006/main" count="59" uniqueCount="14">
  <si>
    <t>Force</t>
  </si>
  <si>
    <t>Magnitude</t>
  </si>
  <si>
    <t>Direction</t>
  </si>
  <si>
    <t>x-component</t>
  </si>
  <si>
    <t>y-component</t>
  </si>
  <si>
    <t>A</t>
  </si>
  <si>
    <t>B</t>
  </si>
  <si>
    <t>C-Cal=</t>
  </si>
  <si>
    <t>C-exp=</t>
  </si>
  <si>
    <t xml:space="preserve"> </t>
  </si>
  <si>
    <t>Diff=</t>
  </si>
  <si>
    <t>% Diff=</t>
  </si>
  <si>
    <t>4 DEGREE</t>
  </si>
  <si>
    <t>30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</si>
</sst>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.00"/>
    <numFmt numFmtId="165" formatCode=".0"/>
  </numFmts>
  <fonts count="5">
    <font>
      <sz val="10"/>
      <name val="Geneva"/>
    </font>
    <font>
      <b/>
      <sz val="14"/>
      <name val="Geneva"/>
    </font>
    <font>
      <sz val="14"/>
      <name val="Geneva"/>
    </font>
    <font>
      <b/>
      <i/>
      <sz val="14"/>
      <name val="Geneva"/>
    </font>
    <font>
      <i/>
      <sz val="14"/>
      <name val="Genev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2" fontId="1" fillId="0" borderId="1" xfId="0" applyNumberFormat="1" applyFont="1" applyBorder="1"/>
    <xf numFmtId="2" fontId="2" fillId="2" borderId="1" xfId="0" applyNumberFormat="1" applyFont="1" applyFill="1" applyBorder="1"/>
    <xf numFmtId="2" fontId="0" fillId="0" borderId="1" xfId="0" applyNumberFormat="1" applyFont="1" applyBorder="1"/>
    <xf numFmtId="164" fontId="1" fillId="0" borderId="1" xfId="0" applyNumberFormat="1" applyFont="1" applyBorder="1"/>
    <xf numFmtId="0" fontId="0" fillId="0" borderId="1" xfId="0" applyBorder="1"/>
    <xf numFmtId="0" fontId="0" fillId="0" borderId="1" xfId="0" applyFont="1" applyBorder="1"/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4" fillId="0" borderId="0" xfId="0" applyFont="1"/>
    <xf numFmtId="164" fontId="1" fillId="0" borderId="1" xfId="0" applyNumberFormat="1" applyFont="1" applyBorder="1" applyAlignment="1">
      <alignment horizontal="right"/>
    </xf>
    <xf numFmtId="2" fontId="0" fillId="0" borderId="1" xfId="0" applyNumberFormat="1" applyBorder="1"/>
    <xf numFmtId="0" fontId="0" fillId="0" borderId="0" xfId="0"/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00" b="1" u="none" strike="noStrike">
                <a:solidFill>
                  <a:srgbClr val="000000"/>
                </a:solidFill>
                <a:uFillTx/>
                <a:latin typeface="Arial"/>
              </a:rPr>
              <a:t>Vector B</a:t>
            </a:r>
          </a:p>
        </c:rich>
      </c:tx>
      <c:layout>
        <c:manualLayout>
          <c:xMode val="edge"/>
          <c:yMode val="edge"/>
          <c:x val="0.41409744891790601"/>
          <c:y val="4.5326734900461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6.8310966025873499E-2"/>
          <c:y val="0.167585198515353"/>
          <c:w val="0.90025389916576004"/>
          <c:h val="0.80204701383421395"/>
        </c:manualLayout>
      </c:layout>
      <c:scatterChart>
        <c:scatterStyle val="lineMarker"/>
        <c:varyColors val="0"/>
        <c:ser>
          <c:idx val="0"/>
          <c:order val="0"/>
          <c:spPr>
            <a:ln w="25200">
              <a:solidFill>
                <a:srgbClr val="000080"/>
              </a:solidFill>
              <a:round/>
            </a:ln>
          </c:spPr>
          <c:marker>
            <c:symbol val="circle"/>
            <c:size val="4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Lab'!$C$10:$C$11</c:f>
              <c:numCache>
                <c:formatCode>0</c:formatCode>
                <c:ptCount val="2"/>
                <c:pt idx="0">
                  <c:v>1.22514845490862E-14</c:v>
                </c:pt>
                <c:pt idx="1">
                  <c:v>0</c:v>
                </c:pt>
              </c:numCache>
            </c:numRef>
          </c:xVal>
          <c:yVal>
            <c:numRef>
              <c:f>'04-Forces and Vectors Lab'!$D$10:$D$11</c:f>
              <c:numCache>
                <c:formatCode>0</c:formatCode>
                <c:ptCount val="2"/>
                <c:pt idx="0">
                  <c:v>200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8-4D31-A7BE-50654BCC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8810"/>
        <c:axId val="52266574"/>
      </c:scatterChart>
      <c:valAx>
        <c:axId val="31988810"/>
        <c:scaling>
          <c:orientation val="minMax"/>
          <c:max val="7"/>
          <c:min val="-7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25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52266574"/>
        <c:crossesAt val="0"/>
        <c:crossBetween val="midCat"/>
        <c:majorUnit val="1"/>
      </c:valAx>
      <c:valAx>
        <c:axId val="52266574"/>
        <c:scaling>
          <c:orientation val="minMax"/>
          <c:max val="7"/>
          <c:min val="-7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25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31988810"/>
        <c:crossesAt val="0"/>
        <c:crossBetween val="midCat"/>
        <c:majorUnit val="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25" b="1" u="none" strike="noStrike">
                <a:solidFill>
                  <a:srgbClr val="000000"/>
                </a:solidFill>
                <a:uFillTx/>
                <a:latin typeface="Arial"/>
              </a:rPr>
              <a:t>Vector C</a:t>
            </a:r>
          </a:p>
        </c:rich>
      </c:tx>
      <c:layout>
        <c:manualLayout>
          <c:xMode val="edge"/>
          <c:yMode val="edge"/>
          <c:x val="0.42564569348048698"/>
          <c:y val="4.836351366550439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6.3829787234042604E-2"/>
          <c:y val="0.15982454167135299"/>
          <c:w val="0.90624644441916002"/>
          <c:h val="0.80980767067821402"/>
        </c:manualLayout>
      </c:layout>
      <c:scatterChart>
        <c:scatterStyle val="lineMarker"/>
        <c:varyColors val="0"/>
        <c:ser>
          <c:idx val="0"/>
          <c:order val="0"/>
          <c:spPr>
            <a:ln w="25200">
              <a:solidFill>
                <a:srgbClr val="008000"/>
              </a:solidFill>
              <a:round/>
            </a:ln>
          </c:spPr>
          <c:marker>
            <c:symbol val="circle"/>
            <c:size val="5"/>
            <c:spPr>
              <a:solidFill>
                <a:srgbClr val="008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Lab'!$E$10:$E$11</c:f>
              <c:numCache>
                <c:formatCode>0</c:formatCode>
                <c:ptCount val="2"/>
                <c:pt idx="0">
                  <c:v>-150</c:v>
                </c:pt>
                <c:pt idx="1">
                  <c:v>0</c:v>
                </c:pt>
              </c:numCache>
            </c:numRef>
          </c:xVal>
          <c:yVal>
            <c:numRef>
              <c:f>'04-Forces and Vectors Lab'!$F$10:$F$11</c:f>
              <c:numCache>
                <c:formatCode>0</c:formatCode>
                <c:ptCount val="2"/>
                <c:pt idx="0">
                  <c:v>-200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9-40DA-A0A2-5E005231A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5491"/>
        <c:axId val="19787174"/>
      </c:scatterChart>
      <c:valAx>
        <c:axId val="55945491"/>
        <c:scaling>
          <c:orientation val="minMax"/>
          <c:max val="7"/>
          <c:min val="-7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5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19787174"/>
        <c:crossesAt val="0"/>
        <c:crossBetween val="midCat"/>
        <c:majorUnit val="1"/>
      </c:valAx>
      <c:valAx>
        <c:axId val="19787174"/>
        <c:scaling>
          <c:orientation val="minMax"/>
          <c:max val="7"/>
          <c:min val="-7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5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55945491"/>
        <c:crossesAt val="0"/>
        <c:crossBetween val="midCat"/>
        <c:majorUnit val="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25" b="1" u="none" strike="noStrike">
                <a:solidFill>
                  <a:srgbClr val="000000"/>
                </a:solidFill>
                <a:uFillTx/>
                <a:latin typeface="Arial"/>
              </a:rPr>
              <a:t>Vector A</a:t>
            </a:r>
          </a:p>
        </c:rich>
      </c:tx>
      <c:layout>
        <c:manualLayout>
          <c:xMode val="edge"/>
          <c:yMode val="edge"/>
          <c:x val="0.423495633448977"/>
          <c:y val="4.81157469717361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6.77114487378873E-2"/>
          <c:y val="0.16464782413638401"/>
          <c:w val="0.90094508912549298"/>
          <c:h val="0.80349932705249005"/>
        </c:manualLayout>
      </c:layout>
      <c:scatterChart>
        <c:scatterStyle val="lineMarker"/>
        <c:varyColors val="0"/>
        <c:ser>
          <c:idx val="0"/>
          <c:order val="0"/>
          <c:spPr>
            <a:ln w="252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Lab'!$A$10:$A$11</c:f>
              <c:numCache>
                <c:formatCode>0</c:formatCode>
                <c:ptCount val="2"/>
                <c:pt idx="0">
                  <c:v>150</c:v>
                </c:pt>
                <c:pt idx="1">
                  <c:v>0</c:v>
                </c:pt>
              </c:numCache>
            </c:numRef>
          </c:xVal>
          <c:yVal>
            <c:numRef>
              <c:f>'04-Forces and Vectors Lab'!$B$10:$B$11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4-4F5B-ADA7-006159690873}"/>
            </c:ext>
          </c:extLst>
        </c:ser>
        <c:ser>
          <c:idx val="1"/>
          <c:order val="1"/>
          <c:spPr>
            <a:ln w="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noFill/>
                    </a:ln>
                  </c:spPr>
                </c15:leaderLines>
              </c:ext>
            </c:extLst>
          </c:dLbls>
          <c:xVal>
            <c:numRef>
              <c:f>'04-Forces and Vectors Lab'!$A$10:$A$11</c:f>
              <c:numCache>
                <c:formatCode>0</c:formatCode>
                <c:ptCount val="2"/>
                <c:pt idx="0">
                  <c:v>150</c:v>
                </c:pt>
                <c:pt idx="1">
                  <c:v>0</c:v>
                </c:pt>
              </c:numCache>
            </c:numRef>
          </c:xVal>
          <c:yVal>
            <c:numRef>
              <c:f>'04-Forces and Vectors Lab'!$B$10:$B$11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24-4F5B-ADA7-00615969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11220"/>
        <c:axId val="23898866"/>
      </c:scatterChart>
      <c:valAx>
        <c:axId val="26711220"/>
        <c:scaling>
          <c:orientation val="minMax"/>
          <c:max val="7"/>
          <c:min val="-7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25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23898866"/>
        <c:crossesAt val="0"/>
        <c:crossBetween val="midCat"/>
        <c:majorUnit val="1"/>
      </c:valAx>
      <c:valAx>
        <c:axId val="23898866"/>
        <c:scaling>
          <c:orientation val="minMax"/>
          <c:max val="7"/>
          <c:min val="-7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25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26711220"/>
        <c:crossesAt val="0"/>
        <c:crossBetween val="midCat"/>
        <c:majorUnit val="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875" b="1" u="none" strike="noStrike">
                <a:solidFill>
                  <a:srgbClr val="000000"/>
                </a:solidFill>
                <a:uFillTx/>
                <a:latin typeface="Arial"/>
              </a:rPr>
              <a:t>Vector A, B, C</a:t>
            </a:r>
          </a:p>
        </c:rich>
      </c:tx>
      <c:layout>
        <c:manualLayout>
          <c:xMode val="edge"/>
          <c:yMode val="edge"/>
          <c:x val="0.37424260425329697"/>
          <c:y val="4.851083032490979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4.72852560294642E-2"/>
          <c:y val="0.16380866425992799"/>
          <c:w val="0.89758821432814495"/>
          <c:h val="0.80900270758122705"/>
        </c:manualLayout>
      </c:layout>
      <c:scatterChart>
        <c:scatterStyle val="lineMarker"/>
        <c:varyColors val="0"/>
        <c:ser>
          <c:idx val="0"/>
          <c:order val="0"/>
          <c:spPr>
            <a:ln w="25200">
              <a:solidFill>
                <a:srgbClr val="008000"/>
              </a:solidFill>
              <a:round/>
            </a:ln>
          </c:spPr>
          <c:marker>
            <c:symbol val="circle"/>
            <c:size val="5"/>
            <c:spPr>
              <a:solidFill>
                <a:srgbClr val="008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Lab'!$E$10:$E$11</c:f>
              <c:numCache>
                <c:formatCode>0</c:formatCode>
                <c:ptCount val="2"/>
                <c:pt idx="0">
                  <c:v>-150</c:v>
                </c:pt>
                <c:pt idx="1">
                  <c:v>0</c:v>
                </c:pt>
              </c:numCache>
            </c:numRef>
          </c:xVal>
          <c:yVal>
            <c:numRef>
              <c:f>'04-Forces and Vectors Lab'!$F$10:$F$11</c:f>
              <c:numCache>
                <c:formatCode>0</c:formatCode>
                <c:ptCount val="2"/>
                <c:pt idx="0">
                  <c:v>-200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0-44A3-A8CD-C4EE7B5B7EAF}"/>
            </c:ext>
          </c:extLst>
        </c:ser>
        <c:ser>
          <c:idx val="1"/>
          <c:order val="1"/>
          <c:spPr>
            <a:ln w="252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Lab'!$A$10:$A$11</c:f>
              <c:numCache>
                <c:formatCode>0</c:formatCode>
                <c:ptCount val="2"/>
                <c:pt idx="0">
                  <c:v>150</c:v>
                </c:pt>
                <c:pt idx="1">
                  <c:v>0</c:v>
                </c:pt>
              </c:numCache>
            </c:numRef>
          </c:xVal>
          <c:yVal>
            <c:numRef>
              <c:f>'04-Forces and Vectors Lab'!$B$10:$B$11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80-44A3-A8CD-C4EE7B5B7EAF}"/>
            </c:ext>
          </c:extLst>
        </c:ser>
        <c:ser>
          <c:idx val="2"/>
          <c:order val="2"/>
          <c:spPr>
            <a:ln w="25200">
              <a:solidFill>
                <a:srgbClr val="0000FF"/>
              </a:solidFill>
              <a:round/>
            </a:ln>
          </c:spPr>
          <c:marker>
            <c:symbol val="circle"/>
            <c:size val="4"/>
            <c:spPr>
              <a:solidFill>
                <a:srgbClr val="00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Lab'!$C$10:$C$11</c:f>
              <c:numCache>
                <c:formatCode>0</c:formatCode>
                <c:ptCount val="2"/>
                <c:pt idx="0">
                  <c:v>1.22514845490862E-14</c:v>
                </c:pt>
                <c:pt idx="1">
                  <c:v>0</c:v>
                </c:pt>
              </c:numCache>
            </c:numRef>
          </c:xVal>
          <c:yVal>
            <c:numRef>
              <c:f>'04-Forces and Vectors Lab'!$D$10:$D$11</c:f>
              <c:numCache>
                <c:formatCode>0</c:formatCode>
                <c:ptCount val="2"/>
                <c:pt idx="0">
                  <c:v>200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80-44A3-A8CD-C4EE7B5B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1771"/>
        <c:axId val="80662615"/>
      </c:scatterChart>
      <c:valAx>
        <c:axId val="75281771"/>
        <c:scaling>
          <c:orientation val="minMax"/>
          <c:max val="7"/>
          <c:min val="-7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5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80662615"/>
        <c:crossesAt val="0"/>
        <c:crossBetween val="midCat"/>
        <c:majorUnit val="1"/>
      </c:valAx>
      <c:valAx>
        <c:axId val="80662615"/>
        <c:scaling>
          <c:orientation val="minMax"/>
          <c:max val="7"/>
          <c:min val="-7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5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75281771"/>
        <c:crossesAt val="0"/>
        <c:crossBetween val="midCat"/>
        <c:majorUnit val="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52560</xdr:colOff>
      <xdr:row>7</xdr:row>
      <xdr:rowOff>181440</xdr:rowOff>
    </xdr:from>
    <xdr:to>
      <xdr:col>4</xdr:col>
      <xdr:colOff>2032</xdr:colOff>
      <xdr:row>21</xdr:row>
      <xdr:rowOff>181440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31320</xdr:colOff>
      <xdr:row>7</xdr:row>
      <xdr:rowOff>181440</xdr:rowOff>
    </xdr:from>
    <xdr:to>
      <xdr:col>5</xdr:col>
      <xdr:colOff>1619640</xdr:colOff>
      <xdr:row>21</xdr:row>
      <xdr:rowOff>181440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41760</xdr:colOff>
      <xdr:row>7</xdr:row>
      <xdr:rowOff>181440</xdr:rowOff>
    </xdr:from>
    <xdr:to>
      <xdr:col>2</xdr:col>
      <xdr:colOff>412</xdr:colOff>
      <xdr:row>21</xdr:row>
      <xdr:rowOff>190440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10440</xdr:colOff>
      <xdr:row>22</xdr:row>
      <xdr:rowOff>28800</xdr:rowOff>
    </xdr:from>
    <xdr:to>
      <xdr:col>4</xdr:col>
      <xdr:colOff>4852</xdr:colOff>
      <xdr:row>36</xdr:row>
      <xdr:rowOff>19080</xdr:rowOff>
    </xdr:to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4"/>
  <sheetViews>
    <sheetView tabSelected="1" topLeftCell="A12" zoomScale="67" zoomScaleNormal="115" workbookViewId="0">
      <selection activeCell="C6" sqref="C6"/>
    </sheetView>
  </sheetViews>
  <sheetFormatPr defaultColWidth="21.109375" defaultRowHeight="18" customHeight="1"/>
  <cols>
    <col min="1" max="1" width="21.109375" style="1"/>
    <col min="2" max="2" width="21.109375" style="2"/>
    <col min="3" max="3" width="21.109375" style="3"/>
    <col min="4" max="5" width="21.109375" style="4"/>
    <col min="6" max="6" width="23.6640625" style="4" customWidth="1"/>
    <col min="7" max="257" width="21.109375" style="4"/>
  </cols>
  <sheetData>
    <row r="1" spans="1:257" ht="17.399999999999999">
      <c r="A1" s="5" t="s">
        <v>0</v>
      </c>
      <c r="B1" s="6" t="s">
        <v>1</v>
      </c>
      <c r="C1" s="7" t="s">
        <v>2</v>
      </c>
      <c r="D1" s="5" t="s">
        <v>3</v>
      </c>
      <c r="E1" s="5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ht="17.399999999999999">
      <c r="A2" s="8" t="s">
        <v>5</v>
      </c>
      <c r="B2" s="9">
        <v>150</v>
      </c>
      <c r="C2" s="9">
        <v>0</v>
      </c>
      <c r="D2" s="10">
        <f>B2*COS(C2/180*PI())</f>
        <v>150</v>
      </c>
      <c r="E2" s="10">
        <f>B2*SIN(C2/180*PI())</f>
        <v>0</v>
      </c>
      <c r="F2" s="11"/>
      <c r="G2" s="11"/>
      <c r="H2" s="11">
        <v>130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</row>
    <row r="3" spans="1:257" ht="17.399999999999999">
      <c r="A3" s="8" t="s">
        <v>6</v>
      </c>
      <c r="B3" s="9">
        <v>200</v>
      </c>
      <c r="C3" s="9">
        <v>90</v>
      </c>
      <c r="D3" s="10">
        <f>B3*COS(C3/180*PI())</f>
        <v>1.22514845490862E-14</v>
      </c>
      <c r="E3" s="10">
        <f>B3*SIN(C3/180*PI())</f>
        <v>200</v>
      </c>
      <c r="F3" s="11">
        <v>30</v>
      </c>
      <c r="G3" s="11"/>
      <c r="H3" s="4">
        <v>340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spans="1:257" ht="17.399999999999999">
      <c r="A4" s="8" t="s">
        <v>7</v>
      </c>
      <c r="B4" s="12">
        <f>(D4^2+E4^2)^0.5</f>
        <v>250</v>
      </c>
      <c r="C4" s="12">
        <f>IF(D4&lt;0,(IF(E4&lt;0,ATAN(E4/D4)*(180/PI())+180,ATAN(E4/D4)*(180/PI())+180)),(IF(E4&lt;0,ATAN(E4/D4)*(180/PI())+360,ATAN(E4/D4)*(180/PI()))))</f>
        <v>233.13010235415598</v>
      </c>
      <c r="D4" s="12">
        <f>-D2-D3</f>
        <v>-150</v>
      </c>
      <c r="E4" s="12">
        <f>-E2-E3</f>
        <v>-200</v>
      </c>
      <c r="F4" s="4" t="s">
        <v>12</v>
      </c>
    </row>
    <row r="5" spans="1:257" ht="17.399999999999999">
      <c r="A5" s="8" t="s">
        <v>8</v>
      </c>
      <c r="B5" s="13">
        <v>248</v>
      </c>
      <c r="C5" s="9">
        <v>230</v>
      </c>
      <c r="D5" s="14" t="s">
        <v>9</v>
      </c>
      <c r="E5" s="14"/>
    </row>
    <row r="6" spans="1:257" ht="17.399999999999999">
      <c r="A6" s="8" t="s">
        <v>10</v>
      </c>
      <c r="B6" s="12">
        <f>B4-B5</f>
        <v>2</v>
      </c>
      <c r="C6" s="12">
        <f>C4-C5</f>
        <v>3.13010235415598</v>
      </c>
      <c r="D6" s="14" t="s">
        <v>9</v>
      </c>
      <c r="E6" s="14"/>
    </row>
    <row r="7" spans="1:257" ht="17.399999999999999">
      <c r="A7" s="8" t="s">
        <v>11</v>
      </c>
      <c r="B7" s="15">
        <f>ABS((B5-B4)/((B5+B4)/2))*100</f>
        <v>0.80321285140562237</v>
      </c>
      <c r="C7" s="16"/>
      <c r="D7" s="17" t="s">
        <v>9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10" spans="1:257" ht="17.399999999999999">
      <c r="A10" s="3">
        <f>D2</f>
        <v>150</v>
      </c>
      <c r="B10" s="3">
        <f>E2</f>
        <v>0</v>
      </c>
      <c r="C10" s="3">
        <f>D3</f>
        <v>1.22514845490862E-14</v>
      </c>
      <c r="D10" s="3">
        <f>E3</f>
        <v>200</v>
      </c>
      <c r="E10" s="3">
        <f>D4</f>
        <v>-150</v>
      </c>
      <c r="F10" s="3">
        <f>E4</f>
        <v>-200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spans="1:257" ht="17.399999999999999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spans="1:257" ht="18" customHeight="1">
      <c r="I12" s="5" t="s">
        <v>0</v>
      </c>
      <c r="J12" s="6" t="s">
        <v>1</v>
      </c>
      <c r="K12" s="7" t="s">
        <v>2</v>
      </c>
      <c r="L12" s="5" t="s">
        <v>3</v>
      </c>
      <c r="M12" s="5" t="s">
        <v>4</v>
      </c>
    </row>
    <row r="13" spans="1:257" ht="18" customHeight="1">
      <c r="I13" s="8" t="s">
        <v>5</v>
      </c>
      <c r="J13" s="9">
        <v>150</v>
      </c>
      <c r="K13" s="9">
        <v>130</v>
      </c>
      <c r="L13" s="10">
        <f>J13*COS(K13/180*PI())</f>
        <v>-96.418141452980905</v>
      </c>
      <c r="M13" s="10">
        <f>J13*SIN(K13/180*PI())</f>
        <v>114.9066664678467</v>
      </c>
    </row>
    <row r="14" spans="1:257" ht="18" customHeight="1">
      <c r="I14" s="8" t="s">
        <v>6</v>
      </c>
      <c r="J14" s="9">
        <v>200</v>
      </c>
      <c r="K14" s="9">
        <v>90</v>
      </c>
      <c r="L14" s="10">
        <f>J14*COS(K14/180*PI())</f>
        <v>1.22514845490862E-14</v>
      </c>
      <c r="M14" s="10">
        <f>J14*SIN(K14/180*PI())</f>
        <v>200</v>
      </c>
    </row>
    <row r="15" spans="1:257" ht="18" customHeight="1">
      <c r="I15" s="8" t="s">
        <v>7</v>
      </c>
      <c r="J15" s="12">
        <f>(L15^2+M15^2)^0.5</f>
        <v>329.33670701447585</v>
      </c>
      <c r="K15" s="12">
        <f>IF(L15&lt;0,(IF(M15&lt;0,ATAN(M15/L15)*(180/PI())+180,ATAN(M15/L15)*(180/PI())+180)),(IF(M15&lt;0,ATAN(M15/L15)*(180/PI())+360,ATAN(M15/L15)*(180/PI()))))</f>
        <v>287.02354351077287</v>
      </c>
      <c r="L15" s="12">
        <f>-L13-L14</f>
        <v>96.41814145298089</v>
      </c>
      <c r="M15" s="12">
        <f>-M13-M14</f>
        <v>-314.90666646784672</v>
      </c>
    </row>
    <row r="16" spans="1:257" ht="18" customHeight="1">
      <c r="I16" s="8" t="s">
        <v>8</v>
      </c>
      <c r="J16" s="13">
        <v>250</v>
      </c>
      <c r="K16" s="9">
        <v>233.13</v>
      </c>
      <c r="L16" s="14" t="s">
        <v>9</v>
      </c>
      <c r="M16" s="14"/>
    </row>
    <row r="17" spans="9:13" ht="18" customHeight="1">
      <c r="I17" s="8" t="s">
        <v>10</v>
      </c>
      <c r="J17" s="12">
        <f>J15-J16</f>
        <v>79.336707014475849</v>
      </c>
      <c r="K17" s="12">
        <f>K15-K16</f>
        <v>53.893543510772872</v>
      </c>
      <c r="L17" s="14" t="s">
        <v>9</v>
      </c>
      <c r="M17" s="14"/>
    </row>
    <row r="18" spans="9:13" ht="18" customHeight="1">
      <c r="I18" s="8" t="s">
        <v>11</v>
      </c>
      <c r="J18" s="15">
        <f>ABS((J16-J15)/((J16+J15)/2))*100</f>
        <v>27.3888072528066</v>
      </c>
      <c r="K18" s="16"/>
      <c r="L18" s="17" t="s">
        <v>9</v>
      </c>
      <c r="M18" s="17"/>
    </row>
    <row r="37" spans="1:257" ht="17.399999999999999">
      <c r="A37" s="19">
        <v>4</v>
      </c>
    </row>
    <row r="38" spans="1:257">
      <c r="A38" s="5" t="s">
        <v>0</v>
      </c>
      <c r="B38" s="6" t="s">
        <v>1</v>
      </c>
      <c r="C38" s="7" t="s">
        <v>2</v>
      </c>
      <c r="D38" s="5" t="s">
        <v>3</v>
      </c>
      <c r="E38" s="5" t="s">
        <v>4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1:257" ht="17.399999999999999">
      <c r="A39" s="8" t="s">
        <v>5</v>
      </c>
      <c r="B39" s="9">
        <v>210</v>
      </c>
      <c r="C39" s="9">
        <v>130</v>
      </c>
      <c r="D39" s="21">
        <f>B39*COS(C39/180*PI())</f>
        <v>-134.98539803417327</v>
      </c>
      <c r="E39" s="21">
        <f>B39*SIN(C39/180*PI())</f>
        <v>160.86933305498539</v>
      </c>
    </row>
    <row r="40" spans="1:257" ht="17.399999999999999">
      <c r="A40" s="8" t="s">
        <v>6</v>
      </c>
      <c r="B40" s="9">
        <v>250</v>
      </c>
      <c r="C40" s="9">
        <v>340</v>
      </c>
      <c r="D40" s="21">
        <f>B40*COS(C40/180*PI())</f>
        <v>234.92315519647701</v>
      </c>
      <c r="E40" s="21">
        <f>B40*SIN(C40/180*PI())</f>
        <v>-85.505035831417359</v>
      </c>
      <c r="F40" s="4">
        <v>20</v>
      </c>
    </row>
    <row r="41" spans="1:257" ht="17.399999999999999">
      <c r="A41" s="8" t="s">
        <v>7</v>
      </c>
      <c r="B41" s="12">
        <f>(D41^2+E41^2)^0.5</f>
        <v>125.16921587448687</v>
      </c>
      <c r="C41" s="12">
        <f>IF(D41&lt;0,(IF(E41&lt;0,ATAN(E41/D41)*57.693+180,ATAN(E41/D41)*57.693+180)),(IF(E41&lt;0,ATAN(E41/D41)*57.693+360,ATAN(E41/D41)*57.693)))</f>
        <v>217.2770525393401</v>
      </c>
      <c r="D41" s="15">
        <f>-D39-D40</f>
        <v>-99.93775716230374</v>
      </c>
      <c r="E41" s="15">
        <f>-E39-E40</f>
        <v>-75.36429722356803</v>
      </c>
      <c r="F41" s="4" t="s">
        <v>13</v>
      </c>
    </row>
    <row r="42" spans="1:257" ht="17.399999999999999">
      <c r="A42" s="8" t="s">
        <v>8</v>
      </c>
      <c r="B42" s="13">
        <v>122</v>
      </c>
      <c r="C42" s="9">
        <v>215</v>
      </c>
      <c r="D42" s="17" t="s">
        <v>9</v>
      </c>
      <c r="E42" s="17"/>
    </row>
    <row r="43" spans="1:257" ht="17.399999999999999">
      <c r="A43" s="8" t="s">
        <v>10</v>
      </c>
      <c r="B43" s="12">
        <f>B41-B42</f>
        <v>3.1692158744868664</v>
      </c>
      <c r="C43" s="12">
        <f>C41-C42</f>
        <v>2.2770525393401044</v>
      </c>
      <c r="D43" s="17" t="s">
        <v>9</v>
      </c>
      <c r="E43" s="17"/>
    </row>
    <row r="44" spans="1:257" ht="17.399999999999999">
      <c r="A44" s="8" t="s">
        <v>11</v>
      </c>
      <c r="B44" s="12">
        <f>ABS((B42-B41)/((B42+B41)/2))*100</f>
        <v>2.5644098625099025</v>
      </c>
      <c r="C44" s="22"/>
      <c r="D44" s="17" t="s">
        <v>9</v>
      </c>
      <c r="E44" s="17"/>
    </row>
  </sheetData>
  <printOptions headings="1" gridLines="1"/>
  <pageMargins left="1.47986111111111" right="0.75" top="1.0902777777777799" bottom="0.55000000000000004" header="0.72013888888888899" footer="0.5"/>
  <pageSetup scale="70" orientation="landscape" horizontalDpi="300" verticalDpi="300"/>
  <headerFooter>
    <oddHeader>&amp;C&amp;F &amp;D &amp;T</oddHeader>
    <oddFooter>&amp;C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"/>
  <sheetViews>
    <sheetView topLeftCell="C1" zoomScale="50" zoomScaleNormal="50" workbookViewId="0">
      <selection activeCell="C1" sqref="C1:C6"/>
    </sheetView>
  </sheetViews>
  <sheetFormatPr defaultColWidth="11.44140625" defaultRowHeight="12.75" customHeight="1"/>
  <cols>
    <col min="1" max="1" width="5.109375" customWidth="1"/>
    <col min="2" max="2" width="19.6640625" style="23" customWidth="1"/>
    <col min="3" max="3" width="89.21875" customWidth="1"/>
    <col min="4" max="4" width="15.6640625" style="23" customWidth="1"/>
    <col min="5" max="5" width="15.44140625" style="23" customWidth="1"/>
  </cols>
  <sheetData>
    <row r="1" spans="1:5" ht="17.399999999999999">
      <c r="A1" s="1" t="s">
        <v>0</v>
      </c>
      <c r="B1" s="24" t="s">
        <v>1</v>
      </c>
      <c r="C1" s="25" t="s">
        <v>2</v>
      </c>
      <c r="D1" s="26" t="s">
        <v>3</v>
      </c>
      <c r="E1" s="26" t="s">
        <v>4</v>
      </c>
    </row>
    <row r="2" spans="1:5" ht="17.399999999999999">
      <c r="A2" s="1" t="s">
        <v>5</v>
      </c>
      <c r="B2" s="27">
        <v>2.94</v>
      </c>
      <c r="C2" s="28">
        <v>300</v>
      </c>
      <c r="D2" s="24">
        <f>B2*COS(C2/180*3.1416)</f>
        <v>1.4700311745613521</v>
      </c>
      <c r="E2" s="24">
        <f>B2*SIN(C2/180*3.1416)</f>
        <v>-2.5460966882303921</v>
      </c>
    </row>
    <row r="3" spans="1:5" ht="17.399999999999999">
      <c r="A3" s="1" t="s">
        <v>6</v>
      </c>
      <c r="B3" s="27">
        <v>3.92</v>
      </c>
      <c r="C3" s="28">
        <v>320</v>
      </c>
      <c r="D3" s="24">
        <f>B3*COS(C3/180*3.1416)</f>
        <v>3.0029271251281724</v>
      </c>
      <c r="E3" s="24">
        <f>B3*SIN(C3/180*3.1416)</f>
        <v>-2.519688211102606</v>
      </c>
    </row>
    <row r="4" spans="1:5" ht="17.399999999999999">
      <c r="A4" s="1" t="s">
        <v>7</v>
      </c>
      <c r="B4" s="29">
        <f>(D4^2+E4^2)^0.5</f>
        <v>6.7579236897934587</v>
      </c>
      <c r="C4" s="30">
        <f>IF(D4&lt;0,(IF(E4&lt;0,ATAN(E4/D4)*57.693+180,ATAN(E4/D4)*57.693+180)),(IF(E4&lt;0,ATAN(E4/D4)*57.693+360,ATAN(E4/D4)*57.693)))</f>
        <v>131.1070476696222</v>
      </c>
      <c r="D4" s="29">
        <f>-D2-D3</f>
        <v>-4.472958299689525</v>
      </c>
      <c r="E4" s="29">
        <f>-E2-E3</f>
        <v>5.0657848993329981</v>
      </c>
    </row>
    <row r="5" spans="1:5" ht="17.399999999999999">
      <c r="A5" s="1" t="s">
        <v>8</v>
      </c>
      <c r="B5" s="31">
        <v>4.8</v>
      </c>
      <c r="C5" s="32">
        <v>131</v>
      </c>
      <c r="D5" s="23" t="s">
        <v>9</v>
      </c>
    </row>
    <row r="6" spans="1:5" ht="17.399999999999999">
      <c r="A6" s="1" t="s">
        <v>10</v>
      </c>
      <c r="B6" s="29">
        <f>B4-B5</f>
        <v>1.9579236897934589</v>
      </c>
      <c r="C6" s="33">
        <f>C4-C5</f>
        <v>0.10704766962220447</v>
      </c>
      <c r="D6" s="23" t="s">
        <v>9</v>
      </c>
    </row>
    <row r="7" spans="1:5" ht="17.399999999999999">
      <c r="A7" s="1" t="s">
        <v>11</v>
      </c>
      <c r="B7" s="29">
        <f>ABS((B5-B4)/((B5+B4)/2))*100</f>
        <v>33.880197556979155</v>
      </c>
      <c r="C7" s="29" t="s">
        <v>9</v>
      </c>
      <c r="D7" s="23" t="s">
        <v>9</v>
      </c>
    </row>
  </sheetData>
  <printOptions headings="1" gridLines="1"/>
  <pageMargins left="0.75" right="0.75" top="1" bottom="1" header="0.5" footer="0.511811023622047"/>
  <pageSetup paperSize="9" orientation="landscape" horizontalDpi="300" verticalDpi="30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04-Forces and Vectors Lab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Peason_Nguyen</cp:lastModifiedBy>
  <dcterms:modified xsi:type="dcterms:W3CDTF">2026-09-24T00:24:27Z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1999-08-21T15:41:04Z</dcterms:created>
  <dc:creator>Ann Marie Eligon</dc:creator>
  <dc:language>en-US</dc:language>
  <cp:lastModifiedBy>AnnMarie Eligon</cp:lastModifiedBy>
  <cp:lastPrinted>2001-09-18T19:04:50Z</cp:lastPrinted>
  <dcterms:modified xsi:type="dcterms:W3CDTF">2023-07-26T02:51:22Z</dcterms:modified>
  <cp:revision>0</cp:revision>
  <dc:title>Force, Magnitude, and Direction Table</dc:title>
</cp:coreProperties>
</file>