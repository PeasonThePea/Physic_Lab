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ocb\Downloads\Book\Education\Cources\Physic Lab\Assignment\Week 3\"/>
    </mc:Choice>
  </mc:AlternateContent>
  <xr:revisionPtr revIDLastSave="0" documentId="13_ncr:1_{7FC335E2-9C48-451D-8920-A4B5EE798C44}" xr6:coauthVersionLast="47" xr6:coauthVersionMax="47" xr10:uidLastSave="{00000000-0000-0000-0000-000000000000}"/>
  <bookViews>
    <workbookView xWindow="-108" yWindow="-108" windowWidth="23256" windowHeight="14616" xr2:uid="{9099BA11-7AC2-49D7-B1D3-229A2D758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8" i="1"/>
  <c r="G3" i="1"/>
  <c r="G4" i="1"/>
  <c r="G5" i="1"/>
  <c r="G6" i="1"/>
  <c r="G2" i="1"/>
  <c r="F3" i="1"/>
  <c r="F6" i="1"/>
  <c r="F9" i="1"/>
  <c r="F14" i="1" s="1"/>
  <c r="F10" i="1"/>
  <c r="F11" i="1"/>
  <c r="F12" i="1"/>
  <c r="F8" i="1"/>
  <c r="E9" i="1"/>
  <c r="E10" i="1"/>
  <c r="E11" i="1"/>
  <c r="E12" i="1"/>
  <c r="E8" i="1"/>
  <c r="D3" i="1"/>
  <c r="D4" i="1"/>
  <c r="D5" i="1"/>
  <c r="D6" i="1"/>
  <c r="D2" i="1"/>
  <c r="C3" i="1"/>
  <c r="C4" i="1"/>
  <c r="F4" i="1" s="1"/>
  <c r="C5" i="1"/>
  <c r="F5" i="1" s="1"/>
  <c r="C6" i="1"/>
  <c r="C2" i="1"/>
  <c r="F2" i="1" s="1"/>
  <c r="B3" i="1"/>
  <c r="B4" i="1"/>
  <c r="B5" i="1"/>
  <c r="B6" i="1"/>
  <c r="B2" i="1"/>
  <c r="H12" i="1" l="1"/>
  <c r="H10" i="1"/>
  <c r="H11" i="1"/>
  <c r="H9" i="1"/>
  <c r="H8" i="1"/>
  <c r="H14" i="1" l="1"/>
</calcChain>
</file>

<file path=xl/sharedStrings.xml><?xml version="1.0" encoding="utf-8"?>
<sst xmlns="http://schemas.openxmlformats.org/spreadsheetml/2006/main" count="23" uniqueCount="22">
  <si>
    <t>Disk</t>
  </si>
  <si>
    <t>Circumference (m)</t>
  </si>
  <si>
    <t>Diameter (m)</t>
  </si>
  <si>
    <t>Thickness (m)</t>
  </si>
  <si>
    <t xml:space="preserve">pi </t>
  </si>
  <si>
    <t>V (m3)</t>
  </si>
  <si>
    <t>Circumference(cm)</t>
  </si>
  <si>
    <t>Diameter (mm)</t>
  </si>
  <si>
    <t>Thickness (mm)</t>
  </si>
  <si>
    <t>Mass (kg)</t>
  </si>
  <si>
    <t>Mass (g)</t>
  </si>
  <si>
    <t>==&gt;</t>
  </si>
  <si>
    <t>p (kg/m3)</t>
  </si>
  <si>
    <t xml:space="preserve"> </t>
  </si>
  <si>
    <t>r^2 (mm)</t>
  </si>
  <si>
    <t>r^2 (m)</t>
  </si>
  <si>
    <t>Average:</t>
  </si>
  <si>
    <t>Method</t>
  </si>
  <si>
    <t>pi</t>
  </si>
  <si>
    <t>density</t>
  </si>
  <si>
    <t>Direct/Tabular</t>
  </si>
  <si>
    <t>Graphical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</si>
</sst>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Font="1"/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 vs. 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Sheet1!$C$8:$C$12</c:f>
              <c:numCache>
                <c:formatCode>General</c:formatCode>
                <c:ptCount val="5"/>
                <c:pt idx="0">
                  <c:v>4.582E-2</c:v>
                </c:pt>
                <c:pt idx="1">
                  <c:v>7.4789999999999995E-2</c:v>
                </c:pt>
                <c:pt idx="2">
                  <c:v>0.10865</c:v>
                </c:pt>
                <c:pt idx="3">
                  <c:v>0.16500000000000001</c:v>
                </c:pt>
                <c:pt idx="4">
                  <c:v>0.21</c:v>
                </c:pt>
              </c:numCache>
            </c:numRef>
          </c:xVal>
          <c:yVal>
            <c:numRef>
              <c:f>Sheet1!$B$8:$B$12</c:f>
              <c:numCache>
                <c:formatCode>General</c:formatCode>
                <c:ptCount val="5"/>
                <c:pt idx="0">
                  <c:v>0.15</c:v>
                </c:pt>
                <c:pt idx="1">
                  <c:v>0.24</c:v>
                </c:pt>
                <c:pt idx="2">
                  <c:v>0.37</c:v>
                </c:pt>
                <c:pt idx="3">
                  <c:v>0.5</c:v>
                </c:pt>
                <c:pt idx="4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52-476E-9A37-A4444AB46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487615"/>
        <c:axId val="1075732415"/>
      </c:scatterChart>
      <c:valAx>
        <c:axId val="120448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732415"/>
        <c:crosses val="autoZero"/>
        <c:crossBetween val="midCat"/>
      </c:valAx>
      <c:valAx>
        <c:axId val="107573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8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 vs. r^2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Sheet1!$G$2:$G$6</c:f>
              <c:numCache>
                <c:formatCode>General</c:formatCode>
                <c:ptCount val="5"/>
                <c:pt idx="0">
                  <c:v>5.2486809999999998E-4</c:v>
                </c:pt>
                <c:pt idx="1">
                  <c:v>1.3983860249999998E-3</c:v>
                </c:pt>
                <c:pt idx="2">
                  <c:v>2.9512056249999998E-3</c:v>
                </c:pt>
                <c:pt idx="3">
                  <c:v>6.8062500000000007E-3</c:v>
                </c:pt>
                <c:pt idx="4">
                  <c:v>1.1024999999999998E-2</c:v>
                </c:pt>
              </c:numCache>
            </c:numRef>
          </c:xVal>
          <c:yVal>
            <c:numRef>
              <c:f>Sheet1!$E$8:$E$12</c:f>
              <c:numCache>
                <c:formatCode>General</c:formatCode>
                <c:ptCount val="5"/>
                <c:pt idx="0">
                  <c:v>1.5099999999999999E-2</c:v>
                </c:pt>
                <c:pt idx="1">
                  <c:v>4.02E-2</c:v>
                </c:pt>
                <c:pt idx="2">
                  <c:v>0.10490000000000001</c:v>
                </c:pt>
                <c:pt idx="3">
                  <c:v>0.18769999999999998</c:v>
                </c:pt>
                <c:pt idx="4">
                  <c:v>0.32419999999999999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C-41D5-8B7B-E26CDD444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1948063"/>
        <c:axId val="1251949983"/>
      </c:scatterChart>
      <c:valAx>
        <c:axId val="125194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49983"/>
        <c:crosses val="autoZero"/>
        <c:crossBetween val="midCat"/>
      </c:valAx>
      <c:valAx>
        <c:axId val="125194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4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21131</xdr:rowOff>
    </xdr:from>
    <xdr:to>
      <xdr:col>5</xdr:col>
      <xdr:colOff>601916</xdr:colOff>
      <xdr:row>29</xdr:row>
      <xdr:rowOff>164566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3B2DDE-B680-7869-3332-183FC70C9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32018</xdr:colOff>
      <xdr:row>14</xdr:row>
      <xdr:rowOff>155601</xdr:rowOff>
    </xdr:from>
    <xdr:to>
      <xdr:col>12</xdr:col>
      <xdr:colOff>454639</xdr:colOff>
      <xdr:row>29</xdr:row>
      <xdr:rowOff>113339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790579-9749-BFE2-F59D-ED963AC25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53B1-074E-450A-9641-F129949598CC}">
  <dimension ref="A1:L20"/>
  <sheetViews>
    <sheetView tabSelected="1" zoomScale="105" workbookViewId="0">
      <selection activeCell="H14" sqref="H14"/>
    </sheetView>
  </sheetViews>
  <sheetFormatPr defaultRowHeight="14.4" x14ac:dyDescent="0.3"/>
  <cols>
    <col min="1" max="1" width="4.44140625" bestFit="1" customWidth="1"/>
    <col min="2" max="2" width="17.21875" bestFit="1" customWidth="1"/>
    <col min="3" max="3" width="13.44140625" bestFit="1" customWidth="1"/>
    <col min="4" max="4" width="14.109375" bestFit="1" customWidth="1"/>
    <col min="5" max="5" width="8.6640625" bestFit="1" customWidth="1"/>
    <col min="6" max="8" width="12.5546875" bestFit="1" customWidth="1"/>
    <col min="10" max="10" width="12.5546875" bestFit="1" customWidth="1"/>
    <col min="11" max="12" width="7.33203125" bestFit="1" customWidth="1"/>
  </cols>
  <sheetData>
    <row r="1" spans="1:12" x14ac:dyDescent="0.3">
      <c r="A1" s="5" t="s">
        <v>0</v>
      </c>
      <c r="B1" s="4" t="s">
        <v>6</v>
      </c>
      <c r="C1" s="4" t="s">
        <v>7</v>
      </c>
      <c r="D1" s="4" t="s">
        <v>8</v>
      </c>
      <c r="E1" s="4" t="s">
        <v>10</v>
      </c>
      <c r="F1" s="4" t="s">
        <v>14</v>
      </c>
      <c r="G1" s="4" t="s">
        <v>15</v>
      </c>
      <c r="H1" s="1"/>
    </row>
    <row r="2" spans="1:12" x14ac:dyDescent="0.3">
      <c r="A2" s="4">
        <v>1</v>
      </c>
      <c r="B2" s="2">
        <f xml:space="preserve"> B8 *100</f>
        <v>15</v>
      </c>
      <c r="C2" s="2">
        <f xml:space="preserve"> C8*1000</f>
        <v>45.82</v>
      </c>
      <c r="D2" s="2">
        <f xml:space="preserve"> D8 * 1000</f>
        <v>17.77</v>
      </c>
      <c r="E2" s="2">
        <v>15.1</v>
      </c>
      <c r="F2" s="2">
        <f xml:space="preserve"> (C2/2)^2</f>
        <v>524.86810000000003</v>
      </c>
      <c r="G2" s="2">
        <f xml:space="preserve"> (C8/2)^2</f>
        <v>5.2486809999999998E-4</v>
      </c>
      <c r="H2" s="1"/>
    </row>
    <row r="3" spans="1:12" x14ac:dyDescent="0.3">
      <c r="A3" s="4">
        <v>2</v>
      </c>
      <c r="B3" s="2">
        <f t="shared" ref="B3:B6" si="0" xml:space="preserve"> B9 *100</f>
        <v>24</v>
      </c>
      <c r="C3" s="2">
        <f t="shared" ref="C3:C6" si="1" xml:space="preserve"> C9*1000</f>
        <v>74.789999999999992</v>
      </c>
      <c r="D3" s="2">
        <f xml:space="preserve"> D9 * 1000</f>
        <v>17.77</v>
      </c>
      <c r="E3" s="2">
        <v>40.200000000000003</v>
      </c>
      <c r="F3" s="2">
        <f t="shared" ref="F3:F5" si="2" xml:space="preserve"> (C3/2)^2</f>
        <v>1398.3860249999998</v>
      </c>
      <c r="G3" s="2">
        <f t="shared" ref="G3:G6" si="3" xml:space="preserve"> (C9/2)^2</f>
        <v>1.3983860249999998E-3</v>
      </c>
      <c r="H3" s="1"/>
    </row>
    <row r="4" spans="1:12" x14ac:dyDescent="0.3">
      <c r="A4" s="4">
        <v>3</v>
      </c>
      <c r="B4" s="2">
        <f t="shared" si="0"/>
        <v>37</v>
      </c>
      <c r="C4" s="2">
        <f t="shared" si="1"/>
        <v>108.64999999999999</v>
      </c>
      <c r="D4" s="2">
        <f xml:space="preserve"> D10 * 1000</f>
        <v>17.77</v>
      </c>
      <c r="E4" s="2">
        <v>104.9</v>
      </c>
      <c r="F4" s="2">
        <f t="shared" si="2"/>
        <v>2951.2056249999996</v>
      </c>
      <c r="G4" s="2">
        <f t="shared" si="3"/>
        <v>2.9512056249999998E-3</v>
      </c>
      <c r="H4" s="1"/>
    </row>
    <row r="5" spans="1:12" x14ac:dyDescent="0.3">
      <c r="A5" s="4">
        <v>4</v>
      </c>
      <c r="B5" s="2">
        <f t="shared" si="0"/>
        <v>50</v>
      </c>
      <c r="C5" s="2">
        <f t="shared" si="1"/>
        <v>165</v>
      </c>
      <c r="D5" s="2">
        <f xml:space="preserve"> D11 * 1000</f>
        <v>17.77</v>
      </c>
      <c r="E5" s="2">
        <v>187.7</v>
      </c>
      <c r="F5" s="2">
        <f t="shared" si="2"/>
        <v>6806.25</v>
      </c>
      <c r="G5" s="2">
        <f t="shared" si="3"/>
        <v>6.8062500000000007E-3</v>
      </c>
      <c r="H5" s="1"/>
      <c r="J5" s="7" t="s">
        <v>17</v>
      </c>
      <c r="K5" s="7" t="s">
        <v>18</v>
      </c>
      <c r="L5" s="7" t="s">
        <v>19</v>
      </c>
    </row>
    <row r="6" spans="1:12" x14ac:dyDescent="0.3">
      <c r="A6" s="4">
        <v>5</v>
      </c>
      <c r="B6" s="2">
        <f t="shared" si="0"/>
        <v>67</v>
      </c>
      <c r="C6" s="2">
        <f t="shared" si="1"/>
        <v>210</v>
      </c>
      <c r="D6" s="2">
        <f xml:space="preserve"> D12 * 1000</f>
        <v>17.77</v>
      </c>
      <c r="E6" s="2">
        <v>324.2</v>
      </c>
      <c r="F6" s="2">
        <f xml:space="preserve"> ROUND((C6/2)^2,2)</f>
        <v>11025</v>
      </c>
      <c r="G6" s="2">
        <f t="shared" si="3"/>
        <v>1.1024999999999998E-2</v>
      </c>
      <c r="H6" s="1"/>
      <c r="J6" s="3" t="s">
        <v>20</v>
      </c>
      <c r="K6" s="3">
        <v>3.222</v>
      </c>
      <c r="L6" s="3">
        <v>53.564</v>
      </c>
    </row>
    <row r="7" spans="1:12" x14ac:dyDescent="0.3">
      <c r="A7" s="9" t="s">
        <v>11</v>
      </c>
      <c r="B7" s="4" t="s">
        <v>1</v>
      </c>
      <c r="C7" s="4" t="s">
        <v>2</v>
      </c>
      <c r="D7" s="4" t="s">
        <v>3</v>
      </c>
      <c r="E7" s="4" t="s">
        <v>9</v>
      </c>
      <c r="F7" s="4" t="s">
        <v>4</v>
      </c>
      <c r="G7" s="4" t="s">
        <v>5</v>
      </c>
      <c r="H7" s="4" t="s">
        <v>12</v>
      </c>
      <c r="J7" s="12" t="s">
        <v>21</v>
      </c>
      <c r="K7" s="3">
        <v>3.0891999999999999</v>
      </c>
      <c r="L7" s="3">
        <v>51.42</v>
      </c>
    </row>
    <row r="8" spans="1:12" x14ac:dyDescent="0.3">
      <c r="A8" s="8">
        <v>1</v>
      </c>
      <c r="B8" s="2">
        <v>0.15</v>
      </c>
      <c r="C8" s="2">
        <v>4.582E-2</v>
      </c>
      <c r="D8" s="2">
        <v>1.7770000000000001E-2</v>
      </c>
      <c r="E8" s="2">
        <f xml:space="preserve"> E2/1000</f>
        <v>1.5099999999999999E-2</v>
      </c>
      <c r="F8" s="2">
        <f xml:space="preserve"> ROUND((B8 / C8), 2)</f>
        <v>3.27</v>
      </c>
      <c r="G8" s="2">
        <f xml:space="preserve"> ROUND(((PI()*(C8^2)*D8)/4),6)</f>
        <v>2.9E-5</v>
      </c>
      <c r="H8" s="2">
        <f xml:space="preserve"> ROUND((E8/G8),2)</f>
        <v>520.69000000000005</v>
      </c>
      <c r="J8" t="s">
        <v>13</v>
      </c>
    </row>
    <row r="9" spans="1:12" x14ac:dyDescent="0.3">
      <c r="A9" s="8">
        <v>2</v>
      </c>
      <c r="B9" s="2">
        <v>0.24</v>
      </c>
      <c r="C9" s="2">
        <v>7.4789999999999995E-2</v>
      </c>
      <c r="D9" s="2">
        <v>1.7770000000000001E-2</v>
      </c>
      <c r="E9" s="2">
        <f xml:space="preserve"> E3/1000</f>
        <v>4.02E-2</v>
      </c>
      <c r="F9" s="2">
        <f xml:space="preserve"> ROUND((B9 / C9), 2)</f>
        <v>3.21</v>
      </c>
      <c r="G9" s="2">
        <f t="shared" ref="G9:G12" si="4" xml:space="preserve"> ROUND(((PI()*(C9^2)*D9)/4),6)</f>
        <v>7.7999999999999999E-5</v>
      </c>
      <c r="H9" s="2">
        <f xml:space="preserve"> ROUND((E9/G9),2)</f>
        <v>515.38</v>
      </c>
    </row>
    <row r="10" spans="1:12" x14ac:dyDescent="0.3">
      <c r="A10" s="8">
        <v>3</v>
      </c>
      <c r="B10" s="2">
        <v>0.37</v>
      </c>
      <c r="C10" s="2">
        <v>0.10865</v>
      </c>
      <c r="D10" s="2">
        <v>1.7770000000000001E-2</v>
      </c>
      <c r="E10" s="2">
        <f xml:space="preserve"> E4/1000</f>
        <v>0.10490000000000001</v>
      </c>
      <c r="F10" s="2">
        <f xml:space="preserve"> ROUND((B10 / C10), 2)</f>
        <v>3.41</v>
      </c>
      <c r="G10" s="2">
        <f t="shared" si="4"/>
        <v>1.65E-4</v>
      </c>
      <c r="H10" s="2">
        <f xml:space="preserve"> ROUND((E10/G10),2)</f>
        <v>635.76</v>
      </c>
    </row>
    <row r="11" spans="1:12" x14ac:dyDescent="0.3">
      <c r="A11" s="8">
        <v>4</v>
      </c>
      <c r="B11" s="2">
        <v>0.5</v>
      </c>
      <c r="C11" s="2">
        <v>0.16500000000000001</v>
      </c>
      <c r="D11" s="2">
        <v>1.7770000000000001E-2</v>
      </c>
      <c r="E11" s="2">
        <f xml:space="preserve"> E5/1000</f>
        <v>0.18769999999999998</v>
      </c>
      <c r="F11" s="2">
        <f xml:space="preserve"> ROUND((B11 / C11), 2)</f>
        <v>3.03</v>
      </c>
      <c r="G11" s="2">
        <f t="shared" si="4"/>
        <v>3.8000000000000002E-4</v>
      </c>
      <c r="H11" s="2">
        <f xml:space="preserve"> ROUND((E11/G11),2)</f>
        <v>493.95</v>
      </c>
    </row>
    <row r="12" spans="1:12" x14ac:dyDescent="0.3">
      <c r="A12" s="8">
        <v>5</v>
      </c>
      <c r="B12" s="2">
        <v>0.67</v>
      </c>
      <c r="C12" s="2">
        <v>0.21</v>
      </c>
      <c r="D12" s="2">
        <v>1.7770000000000001E-2</v>
      </c>
      <c r="E12" s="2">
        <f xml:space="preserve"> E6/1000</f>
        <v>0.32419999999999999</v>
      </c>
      <c r="F12" s="2">
        <f xml:space="preserve"> ROUND((B12 / C12), 2)</f>
        <v>3.19</v>
      </c>
      <c r="G12" s="2">
        <f t="shared" si="4"/>
        <v>6.1499999999999999E-4</v>
      </c>
      <c r="H12" s="2">
        <f xml:space="preserve"> ROUND((E12/G12),2)</f>
        <v>527.15</v>
      </c>
    </row>
    <row r="13" spans="1:12" x14ac:dyDescent="0.3">
      <c r="F13" s="7" t="s">
        <v>16</v>
      </c>
      <c r="H13" s="7" t="s">
        <v>16</v>
      </c>
    </row>
    <row r="14" spans="1:12" x14ac:dyDescent="0.3">
      <c r="F14" s="11">
        <f xml:space="preserve"> (SUM(F8:F12))/5</f>
        <v>3.222</v>
      </c>
      <c r="H14" s="11">
        <f xml:space="preserve"> (SUM(H8:H12))/5</f>
        <v>538.58600000000001</v>
      </c>
    </row>
    <row r="15" spans="1:12" x14ac:dyDescent="0.3">
      <c r="B15" s="6"/>
      <c r="C15" s="6"/>
      <c r="D15" s="6"/>
      <c r="E15" s="6"/>
    </row>
    <row r="16" spans="1:12" x14ac:dyDescent="0.3">
      <c r="E16" s="10"/>
    </row>
    <row r="17" spans="5:5" x14ac:dyDescent="0.3">
      <c r="E17" s="10"/>
    </row>
    <row r="18" spans="5:5" x14ac:dyDescent="0.3">
      <c r="E18" s="10"/>
    </row>
    <row r="19" spans="5:5" x14ac:dyDescent="0.3">
      <c r="E19" s="10"/>
    </row>
    <row r="20" spans="5:5" x14ac:dyDescent="0.3">
      <c r="E20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Peason_Nguyen</dc:creator>
  <cp:lastModifiedBy>Peason_Nguyen</cp:lastModifiedBy>
  <dcterms:created xsi:type="dcterms:W3CDTF">2026-09-09T23:42:33Z</dcterms:created>
  <dcterms:modified xsi:type="dcterms:W3CDTF">2026-09-17T01:49:31Z</dcterms:modified>
</cp:coreProperties>
</file>