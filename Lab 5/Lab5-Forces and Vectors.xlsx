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ate1904="1"/>
  <mc:AlternateContent xmlns:mc="http://schemas.openxmlformats.org/markup-compatibility/2006">
    <mc:Choice Requires="x15">
      <x15ac:absPath xmlns:x15ac="http://schemas.microsoft.com/office/spreadsheetml/2010/11/ac" url="C:\Users\Ngocb\Downloads\Book\Course\Physic Lab\Lab Assignment\Lab 5\"/>
    </mc:Choice>
  </mc:AlternateContent>
  <xr:revisionPtr revIDLastSave="0" documentId="13_ncr:1_{3727E0AE-3CA0-4926-9920-8DAD121ABCFD}" xr6:coauthVersionLast="47" xr6:coauthVersionMax="47" xr10:uidLastSave="{00000000-0000-0000-0000-000000000000}"/>
  <bookViews>
    <workbookView xWindow="-108" yWindow="-108" windowWidth="23256" windowHeight="14616" tabRatio="500" xr2:uid="{00000000-000D-0000-FFFF-FFFF00000000}"/>
  </bookViews>
  <sheets>
    <sheet name="04-Forces and Vectors Lab" sheetId="1" r:id="rId1"/>
    <sheet name="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D39" i="1"/>
  <c r="E39" i="1"/>
  <c r="D40" i="1"/>
  <c r="E40" i="1"/>
  <c r="D41" i="1"/>
  <c r="B41" i="1" s="1"/>
  <c r="E41" i="1"/>
  <c r="D10" i="1"/>
  <c r="E4" i="2"/>
  <c r="D4" i="2"/>
  <c r="C4" i="2"/>
  <c r="C6" i="2" s="1"/>
  <c r="B4" i="2"/>
  <c r="B7" i="2" s="1"/>
  <c r="E3" i="2"/>
  <c r="D3" i="2"/>
  <c r="E2" i="2"/>
  <c r="D2" i="2"/>
  <c r="C10" i="1" l="1"/>
  <c r="B43" i="1"/>
  <c r="B44" i="1"/>
  <c r="C41" i="1"/>
  <c r="C43" i="1" s="1"/>
  <c r="F10" i="1"/>
  <c r="A10" i="1"/>
  <c r="B10" i="1"/>
  <c r="B6" i="2"/>
  <c r="E10" i="1" l="1"/>
</calcChain>
</file>

<file path=xl/sharedStrings.xml><?xml version="1.0" encoding="utf-8"?>
<sst xmlns="http://schemas.openxmlformats.org/spreadsheetml/2006/main" count="63" uniqueCount="16">
  <si>
    <t>Force</t>
  </si>
  <si>
    <t>Magnitude</t>
  </si>
  <si>
    <t>Direction</t>
  </si>
  <si>
    <t>x-component</t>
  </si>
  <si>
    <t>y-component</t>
  </si>
  <si>
    <t>A</t>
  </si>
  <si>
    <t>B</t>
  </si>
  <si>
    <t>C-Cal=</t>
  </si>
  <si>
    <t>C-exp=</t>
  </si>
  <si>
    <t xml:space="preserve"> </t>
  </si>
  <si>
    <t>Diff=</t>
  </si>
  <si>
    <t>% Diff=</t>
  </si>
  <si>
    <t>4 DEGREE</t>
  </si>
  <si>
    <t>30 DEGREE</t>
  </si>
  <si>
    <t>force</t>
  </si>
  <si>
    <t>Magnitude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</si>
</sst>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.00"/>
    <numFmt numFmtId="165" formatCode=".0"/>
  </numFmts>
  <fonts count="11">
    <font>
      <sz val="10"/>
      <name val="Geneva"/>
    </font>
    <font>
      <b/>
      <sz val="14"/>
      <name val="Geneva"/>
    </font>
    <font>
      <sz val="14"/>
      <name val="Geneva"/>
    </font>
    <font>
      <b/>
      <i/>
      <sz val="14"/>
      <name val="Geneva"/>
    </font>
    <font>
      <i/>
      <sz val="14"/>
      <name val="Geneva"/>
    </font>
    <font>
      <b/>
      <i/>
      <sz val="14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sz val="10"/>
      <name val="Times New Roman"/>
      <family val="1"/>
    </font>
    <font>
      <sz val="11"/>
      <name val="Calibri"/>
      <family val="2"/>
    </font>
    <font>
      <sz val="14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" fontId="3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2" fontId="2" fillId="2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2" fontId="1" fillId="0" borderId="1" xfId="0" applyNumberFormat="1" applyFont="1" applyBorder="1"/>
    <xf numFmtId="2" fontId="2" fillId="2" borderId="1" xfId="0" applyNumberFormat="1" applyFont="1" applyFill="1" applyBorder="1"/>
    <xf numFmtId="164" fontId="1" fillId="0" borderId="1" xfId="0" applyNumberFormat="1" applyFont="1" applyBorder="1"/>
    <xf numFmtId="0" fontId="0" fillId="0" borderId="1" xfId="0" applyFont="1" applyBorder="1"/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4" fillId="0" borderId="0" xfId="0" applyFont="1"/>
    <xf numFmtId="164" fontId="1" fillId="0" borderId="1" xfId="0" applyNumberFormat="1" applyFont="1" applyBorder="1" applyAlignment="1">
      <alignment horizontal="right"/>
    </xf>
    <xf numFmtId="2" fontId="0" fillId="0" borderId="1" xfId="0" applyNumberFormat="1" applyBorder="1"/>
    <xf numFmtId="0" fontId="0" fillId="0" borderId="0" xfId="0"/>
    <xf numFmtId="16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164" fontId="2" fillId="0" borderId="1" xfId="0" applyNumberFormat="1" applyFont="1" applyBorder="1"/>
    <xf numFmtId="165" fontId="2" fillId="0" borderId="1" xfId="0" applyNumberFormat="1" applyFont="1" applyBorder="1" applyAlignment="1">
      <alignment horizontal="right"/>
    </xf>
    <xf numFmtId="2" fontId="1" fillId="0" borderId="0" xfId="0" applyNumberFormat="1" applyFont="1"/>
    <xf numFmtId="0" fontId="2" fillId="0" borderId="0" xfId="0" applyFont="1" applyBorder="1"/>
    <xf numFmtId="1" fontId="1" fillId="0" borderId="0" xfId="0" applyNumberFormat="1" applyFont="1" applyBorder="1"/>
    <xf numFmtId="0" fontId="2" fillId="0" borderId="0" xfId="0" applyFont="1"/>
    <xf numFmtId="0" fontId="1" fillId="0" borderId="1" xfId="0" applyFont="1" applyBorder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2" fontId="0" fillId="0" borderId="0" xfId="0" applyNumberFormat="1" applyFont="1" applyBorder="1" applyAlignment="1">
      <alignment horizontal="center"/>
    </xf>
    <xf numFmtId="2" fontId="0" fillId="0" borderId="3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2" xfId="0" applyBorder="1" applyAlignment="1">
      <alignment horizontal="center"/>
    </xf>
    <xf numFmtId="1" fontId="2" fillId="0" borderId="0" xfId="0" applyNumberFormat="1" applyFont="1" applyBorder="1"/>
    <xf numFmtId="0" fontId="3" fillId="0" borderId="0" xfId="0" applyFont="1" applyBorder="1" applyAlignment="1">
      <alignment horizontal="right"/>
    </xf>
    <xf numFmtId="164" fontId="3" fillId="0" borderId="0" xfId="0" applyNumberFormat="1" applyFont="1" applyBorder="1" applyAlignment="1">
      <alignment horizontal="right"/>
    </xf>
    <xf numFmtId="1" fontId="3" fillId="0" borderId="0" xfId="0" applyNumberFormat="1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2" fontId="1" fillId="0" borderId="0" xfId="0" applyNumberFormat="1" applyFont="1" applyBorder="1" applyAlignment="1">
      <alignment horizontal="right"/>
    </xf>
    <xf numFmtId="2" fontId="1" fillId="0" borderId="0" xfId="0" applyNumberFormat="1" applyFont="1" applyBorder="1"/>
    <xf numFmtId="2" fontId="0" fillId="0" borderId="0" xfId="0" applyNumberFormat="1" applyFont="1" applyBorder="1"/>
    <xf numFmtId="164" fontId="1" fillId="0" borderId="0" xfId="0" applyNumberFormat="1" applyFont="1" applyBorder="1"/>
    <xf numFmtId="0" fontId="0" fillId="0" borderId="0" xfId="0" applyBorder="1"/>
    <xf numFmtId="0" fontId="0" fillId="0" borderId="0" xfId="0" applyFont="1" applyBorder="1"/>
    <xf numFmtId="0" fontId="2" fillId="3" borderId="0" xfId="0" applyFont="1" applyFill="1"/>
    <xf numFmtId="0" fontId="1" fillId="3" borderId="0" xfId="0" applyFont="1" applyFill="1" applyBorder="1" applyAlignment="1">
      <alignment horizontal="right"/>
    </xf>
    <xf numFmtId="2" fontId="2" fillId="4" borderId="0" xfId="0" applyNumberFormat="1" applyFont="1" applyFill="1" applyBorder="1" applyAlignment="1">
      <alignment horizontal="right"/>
    </xf>
    <xf numFmtId="2" fontId="1" fillId="3" borderId="0" xfId="0" applyNumberFormat="1" applyFont="1" applyFill="1" applyBorder="1"/>
    <xf numFmtId="2" fontId="2" fillId="4" borderId="0" xfId="0" applyNumberFormat="1" applyFont="1" applyFill="1" applyBorder="1"/>
    <xf numFmtId="2" fontId="2" fillId="4" borderId="1" xfId="0" applyNumberFormat="1" applyFont="1" applyFill="1" applyBorder="1" applyAlignment="1">
      <alignment horizontal="right"/>
    </xf>
    <xf numFmtId="2" fontId="2" fillId="4" borderId="1" xfId="0" applyNumberFormat="1" applyFont="1" applyFill="1" applyBorder="1"/>
    <xf numFmtId="2" fontId="1" fillId="3" borderId="1" xfId="0" applyNumberFormat="1" applyFont="1" applyFill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right" vertical="center"/>
    </xf>
    <xf numFmtId="0" fontId="10" fillId="5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900" b="1" u="none" strike="noStrike">
                <a:solidFill>
                  <a:srgbClr val="000000"/>
                </a:solidFill>
                <a:uFillTx/>
                <a:latin typeface="Arial"/>
              </a:rPr>
              <a:t>Vector B</a:t>
            </a:r>
          </a:p>
        </c:rich>
      </c:tx>
      <c:layout>
        <c:manualLayout>
          <c:xMode val="edge"/>
          <c:yMode val="edge"/>
          <c:x val="0.41409744891790601"/>
          <c:y val="4.5326734900461102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6.8310966025873499E-2"/>
          <c:y val="0.167585198515353"/>
          <c:w val="0.90025389916576004"/>
          <c:h val="0.80204701383421395"/>
        </c:manualLayout>
      </c:layout>
      <c:scatterChart>
        <c:scatterStyle val="lineMarker"/>
        <c:varyColors val="0"/>
        <c:ser>
          <c:idx val="0"/>
          <c:order val="0"/>
          <c:spPr>
            <a:ln w="25200">
              <a:solidFill>
                <a:srgbClr val="000080"/>
              </a:solidFill>
              <a:round/>
            </a:ln>
          </c:spPr>
          <c:marker>
            <c:symbol val="circle"/>
            <c:size val="4"/>
            <c:spPr>
              <a:solidFill>
                <a:srgbClr val="00008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2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'04-Forces and Vectors Lab'!$C$10:$C$11</c:f>
              <c:numCache>
                <c:formatCode>0</c:formatCode>
                <c:ptCount val="2"/>
                <c:pt idx="0">
                  <c:v>2.2999999999999998</c:v>
                </c:pt>
                <c:pt idx="1">
                  <c:v>0</c:v>
                </c:pt>
              </c:numCache>
            </c:numRef>
          </c:xVal>
          <c:yVal>
            <c:numRef>
              <c:f>'04-Forces and Vectors Lab'!$D$10:$D$11</c:f>
              <c:numCache>
                <c:formatCode>0</c:formatCode>
                <c:ptCount val="2"/>
                <c:pt idx="0">
                  <c:v>-0.84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B8-4D31-A7BE-50654BCCF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88810"/>
        <c:axId val="52266574"/>
      </c:scatterChart>
      <c:valAx>
        <c:axId val="31988810"/>
        <c:scaling>
          <c:orientation val="minMax"/>
          <c:max val="7"/>
          <c:min val="-7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25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52266574"/>
        <c:crossesAt val="0"/>
        <c:crossBetween val="midCat"/>
        <c:majorUnit val="1"/>
      </c:valAx>
      <c:valAx>
        <c:axId val="52266574"/>
        <c:scaling>
          <c:orientation val="minMax"/>
          <c:max val="7"/>
          <c:min val="-7"/>
        </c:scaling>
        <c:delete val="0"/>
        <c:axPos val="l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25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31988810"/>
        <c:crossesAt val="0"/>
        <c:crossBetween val="midCat"/>
        <c:majorUnit val="1"/>
      </c:valAx>
      <c:spPr>
        <a:noFill/>
        <a:ln w="12600">
          <a:solidFill>
            <a:srgbClr val="808080"/>
          </a:solidFill>
          <a:round/>
        </a:ln>
      </c:spPr>
    </c:plotArea>
    <c:plotVisOnly val="1"/>
    <c:dispBlanksAs val="gap"/>
    <c:showDLblsOverMax val="1"/>
  </c:chart>
  <c:spPr>
    <a:solidFill>
      <a:srgbClr val="FFFFFF"/>
    </a:solidFill>
    <a:ln w="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925" b="1" u="none" strike="noStrike">
                <a:solidFill>
                  <a:srgbClr val="000000"/>
                </a:solidFill>
                <a:uFillTx/>
                <a:latin typeface="Arial"/>
              </a:rPr>
              <a:t>Vector C</a:t>
            </a:r>
          </a:p>
        </c:rich>
      </c:tx>
      <c:layout>
        <c:manualLayout>
          <c:xMode val="edge"/>
          <c:yMode val="edge"/>
          <c:x val="0.42564569348048698"/>
          <c:y val="4.8363513665504398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6.3829787234042604E-2"/>
          <c:y val="0.15982454167135299"/>
          <c:w val="0.90624644441916002"/>
          <c:h val="0.80980767067821402"/>
        </c:manualLayout>
      </c:layout>
      <c:scatterChart>
        <c:scatterStyle val="lineMarker"/>
        <c:varyColors val="0"/>
        <c:ser>
          <c:idx val="0"/>
          <c:order val="0"/>
          <c:spPr>
            <a:ln w="25200">
              <a:solidFill>
                <a:srgbClr val="008000"/>
              </a:solidFill>
              <a:round/>
            </a:ln>
          </c:spPr>
          <c:marker>
            <c:symbol val="circle"/>
            <c:size val="5"/>
            <c:spPr>
              <a:solidFill>
                <a:srgbClr val="00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2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'04-Forces and Vectors Lab'!$E$10:$E$11</c:f>
              <c:numCache>
                <c:formatCode>0</c:formatCode>
                <c:ptCount val="2"/>
                <c:pt idx="0">
                  <c:v>-0.98</c:v>
                </c:pt>
                <c:pt idx="1">
                  <c:v>0</c:v>
                </c:pt>
              </c:numCache>
            </c:numRef>
          </c:xVal>
          <c:yVal>
            <c:numRef>
              <c:f>'04-Forces and Vectors Lab'!$F$10:$F$11</c:f>
              <c:numCache>
                <c:formatCode>0</c:formatCode>
                <c:ptCount val="2"/>
                <c:pt idx="0">
                  <c:v>-0.74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49-40DA-A0A2-5E005231A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5491"/>
        <c:axId val="19787174"/>
      </c:scatterChart>
      <c:valAx>
        <c:axId val="55945491"/>
        <c:scaling>
          <c:orientation val="minMax"/>
          <c:max val="7"/>
          <c:min val="-7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50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19787174"/>
        <c:crossesAt val="0"/>
        <c:crossBetween val="midCat"/>
        <c:majorUnit val="1"/>
      </c:valAx>
      <c:valAx>
        <c:axId val="19787174"/>
        <c:scaling>
          <c:orientation val="minMax"/>
          <c:max val="7"/>
          <c:min val="-7"/>
        </c:scaling>
        <c:delete val="0"/>
        <c:axPos val="l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50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55945491"/>
        <c:crossesAt val="0"/>
        <c:crossBetween val="midCat"/>
        <c:majorUnit val="1"/>
      </c:valAx>
      <c:spPr>
        <a:noFill/>
        <a:ln w="12600">
          <a:solidFill>
            <a:srgbClr val="808080"/>
          </a:solidFill>
          <a:round/>
        </a:ln>
      </c:spPr>
    </c:plotArea>
    <c:plotVisOnly val="1"/>
    <c:dispBlanksAs val="gap"/>
    <c:showDLblsOverMax val="1"/>
  </c:chart>
  <c:spPr>
    <a:solidFill>
      <a:srgbClr val="FFFFFF"/>
    </a:solidFill>
    <a:ln w="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925" b="1" u="none" strike="noStrike">
                <a:solidFill>
                  <a:srgbClr val="000000"/>
                </a:solidFill>
                <a:uFillTx/>
                <a:latin typeface="Arial"/>
              </a:rPr>
              <a:t>Vector A</a:t>
            </a:r>
          </a:p>
        </c:rich>
      </c:tx>
      <c:layout>
        <c:manualLayout>
          <c:xMode val="edge"/>
          <c:yMode val="edge"/>
          <c:x val="0.423495633448977"/>
          <c:y val="4.81157469717361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6.77114487378873E-2"/>
          <c:y val="0.16464782413638401"/>
          <c:w val="0.90094508912549298"/>
          <c:h val="0.80349932705249005"/>
        </c:manualLayout>
      </c:layout>
      <c:scatterChart>
        <c:scatterStyle val="lineMarker"/>
        <c:varyColors val="0"/>
        <c:ser>
          <c:idx val="0"/>
          <c:order val="0"/>
          <c:spPr>
            <a:ln w="25200">
              <a:solidFill>
                <a:srgbClr val="FF0000"/>
              </a:solidFill>
              <a:round/>
            </a:ln>
          </c:spPr>
          <c:marker>
            <c:symbol val="circle"/>
            <c:size val="4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2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'04-Forces and Vectors Lab'!$A$10:$A$11</c:f>
              <c:numCache>
                <c:formatCode>0</c:formatCode>
                <c:ptCount val="2"/>
                <c:pt idx="0">
                  <c:v>-1.32</c:v>
                </c:pt>
                <c:pt idx="1">
                  <c:v>0</c:v>
                </c:pt>
              </c:numCache>
            </c:numRef>
          </c:xVal>
          <c:yVal>
            <c:numRef>
              <c:f>'04-Forces and Vectors Lab'!$B$10:$B$11</c:f>
              <c:numCache>
                <c:formatCode>0</c:formatCode>
                <c:ptCount val="2"/>
                <c:pt idx="0">
                  <c:v>1.58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24-4F5B-ADA7-006159690873}"/>
            </c:ext>
          </c:extLst>
        </c:ser>
        <c:ser>
          <c:idx val="1"/>
          <c:order val="1"/>
          <c:spPr>
            <a:ln w="0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noFill/>
                    </a:ln>
                  </c:spPr>
                </c15:leaderLines>
              </c:ext>
            </c:extLst>
          </c:dLbls>
          <c:xVal>
            <c:numRef>
              <c:f>'04-Forces and Vectors Lab'!$A$10:$A$11</c:f>
              <c:numCache>
                <c:formatCode>0</c:formatCode>
                <c:ptCount val="2"/>
                <c:pt idx="0">
                  <c:v>-1.32</c:v>
                </c:pt>
                <c:pt idx="1">
                  <c:v>0</c:v>
                </c:pt>
              </c:numCache>
            </c:numRef>
          </c:xVal>
          <c:yVal>
            <c:numRef>
              <c:f>'04-Forces and Vectors Lab'!$B$10:$B$11</c:f>
              <c:numCache>
                <c:formatCode>0</c:formatCode>
                <c:ptCount val="2"/>
                <c:pt idx="0">
                  <c:v>1.58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24-4F5B-ADA7-00615969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711220"/>
        <c:axId val="23898866"/>
      </c:scatterChart>
      <c:valAx>
        <c:axId val="26711220"/>
        <c:scaling>
          <c:orientation val="minMax"/>
          <c:max val="7"/>
          <c:min val="-7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25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23898866"/>
        <c:crossesAt val="0"/>
        <c:crossBetween val="midCat"/>
        <c:majorUnit val="1"/>
      </c:valAx>
      <c:valAx>
        <c:axId val="23898866"/>
        <c:scaling>
          <c:orientation val="minMax"/>
          <c:max val="7"/>
          <c:min val="-7"/>
        </c:scaling>
        <c:delete val="0"/>
        <c:axPos val="l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25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26711220"/>
        <c:crossesAt val="0"/>
        <c:crossBetween val="midCat"/>
        <c:majorUnit val="1"/>
      </c:valAx>
      <c:spPr>
        <a:noFill/>
        <a:ln w="12600">
          <a:solidFill>
            <a:srgbClr val="808080"/>
          </a:solidFill>
          <a:round/>
        </a:ln>
      </c:spPr>
    </c:plotArea>
    <c:plotVisOnly val="1"/>
    <c:dispBlanksAs val="gap"/>
    <c:showDLblsOverMax val="1"/>
  </c:chart>
  <c:spPr>
    <a:solidFill>
      <a:srgbClr val="FFFFFF"/>
    </a:solidFill>
    <a:ln w="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875" b="1" u="none" strike="noStrike">
                <a:solidFill>
                  <a:srgbClr val="000000"/>
                </a:solidFill>
                <a:uFillTx/>
                <a:latin typeface="Arial"/>
              </a:rPr>
              <a:t>Vector A, B, C</a:t>
            </a:r>
          </a:p>
        </c:rich>
      </c:tx>
      <c:layout>
        <c:manualLayout>
          <c:xMode val="edge"/>
          <c:yMode val="edge"/>
          <c:x val="0.37424260425329697"/>
          <c:y val="4.8510830324909798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4.72852560294642E-2"/>
          <c:y val="0.16380866425992799"/>
          <c:w val="0.89758821432814495"/>
          <c:h val="0.80900270758122705"/>
        </c:manualLayout>
      </c:layout>
      <c:scatterChart>
        <c:scatterStyle val="lineMarker"/>
        <c:varyColors val="0"/>
        <c:ser>
          <c:idx val="0"/>
          <c:order val="0"/>
          <c:spPr>
            <a:ln w="25200">
              <a:solidFill>
                <a:srgbClr val="008000"/>
              </a:solidFill>
              <a:round/>
            </a:ln>
          </c:spPr>
          <c:marker>
            <c:symbol val="circle"/>
            <c:size val="5"/>
            <c:spPr>
              <a:solidFill>
                <a:srgbClr val="00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2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'04-Forces and Vectors Lab'!$E$10:$E$11</c:f>
              <c:numCache>
                <c:formatCode>0</c:formatCode>
                <c:ptCount val="2"/>
                <c:pt idx="0">
                  <c:v>-0.98</c:v>
                </c:pt>
                <c:pt idx="1">
                  <c:v>0</c:v>
                </c:pt>
              </c:numCache>
            </c:numRef>
          </c:xVal>
          <c:yVal>
            <c:numRef>
              <c:f>'04-Forces and Vectors Lab'!$F$10:$F$11</c:f>
              <c:numCache>
                <c:formatCode>0</c:formatCode>
                <c:ptCount val="2"/>
                <c:pt idx="0">
                  <c:v>-0.74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80-44A3-A8CD-C4EE7B5B7EAF}"/>
            </c:ext>
          </c:extLst>
        </c:ser>
        <c:ser>
          <c:idx val="1"/>
          <c:order val="1"/>
          <c:spPr>
            <a:ln w="25200">
              <a:solidFill>
                <a:srgbClr val="FF0000"/>
              </a:solidFill>
              <a:round/>
            </a:ln>
          </c:spPr>
          <c:marker>
            <c:symbol val="circle"/>
            <c:size val="4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2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'04-Forces and Vectors Lab'!$A$10:$A$11</c:f>
              <c:numCache>
                <c:formatCode>0</c:formatCode>
                <c:ptCount val="2"/>
                <c:pt idx="0">
                  <c:v>-1.32</c:v>
                </c:pt>
                <c:pt idx="1">
                  <c:v>0</c:v>
                </c:pt>
              </c:numCache>
            </c:numRef>
          </c:xVal>
          <c:yVal>
            <c:numRef>
              <c:f>'04-Forces and Vectors Lab'!$B$10:$B$11</c:f>
              <c:numCache>
                <c:formatCode>0</c:formatCode>
                <c:ptCount val="2"/>
                <c:pt idx="0">
                  <c:v>1.58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80-44A3-A8CD-C4EE7B5B7EAF}"/>
            </c:ext>
          </c:extLst>
        </c:ser>
        <c:ser>
          <c:idx val="2"/>
          <c:order val="2"/>
          <c:spPr>
            <a:ln w="25200">
              <a:solidFill>
                <a:srgbClr val="0000FF"/>
              </a:solidFill>
              <a:round/>
            </a:ln>
          </c:spPr>
          <c:marker>
            <c:symbol val="circle"/>
            <c:size val="4"/>
            <c:spPr>
              <a:solidFill>
                <a:srgbClr val="0000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2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'04-Forces and Vectors Lab'!$C$10:$C$11</c:f>
              <c:numCache>
                <c:formatCode>0</c:formatCode>
                <c:ptCount val="2"/>
                <c:pt idx="0">
                  <c:v>2.2999999999999998</c:v>
                </c:pt>
                <c:pt idx="1">
                  <c:v>0</c:v>
                </c:pt>
              </c:numCache>
            </c:numRef>
          </c:xVal>
          <c:yVal>
            <c:numRef>
              <c:f>'04-Forces and Vectors Lab'!$D$10:$D$11</c:f>
              <c:numCache>
                <c:formatCode>0</c:formatCode>
                <c:ptCount val="2"/>
                <c:pt idx="0">
                  <c:v>-0.84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80-44A3-A8CD-C4EE7B5B7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81771"/>
        <c:axId val="80662615"/>
      </c:scatterChart>
      <c:valAx>
        <c:axId val="75281771"/>
        <c:scaling>
          <c:orientation val="minMax"/>
          <c:max val="7"/>
          <c:min val="-7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50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80662615"/>
        <c:crossesAt val="0"/>
        <c:crossBetween val="midCat"/>
        <c:majorUnit val="1"/>
      </c:valAx>
      <c:valAx>
        <c:axId val="80662615"/>
        <c:scaling>
          <c:orientation val="minMax"/>
          <c:max val="7"/>
          <c:min val="-7"/>
        </c:scaling>
        <c:delete val="0"/>
        <c:axPos val="l"/>
        <c:numFmt formatCode="0" sourceLinked="1"/>
        <c:majorTickMark val="out"/>
        <c:minorTickMark val="none"/>
        <c:tickLblPos val="nextTo"/>
        <c:spPr>
          <a:ln w="0">
            <a:solidFill>
              <a:srgbClr val="000000"/>
            </a:solidFill>
          </a:ln>
        </c:spPr>
        <c:txPr>
          <a:bodyPr/>
          <a:lstStyle/>
          <a:p>
            <a:pPr>
              <a:defRPr sz="450" b="0" u="none" strike="noStrike">
                <a:solidFill>
                  <a:srgbClr val="000000"/>
                </a:solidFill>
                <a:uFillTx/>
                <a:latin typeface="Arial"/>
              </a:defRPr>
            </a:pPr>
            <a:endParaRPr lang="en-US"/>
          </a:p>
        </c:txPr>
        <c:crossAx val="75281771"/>
        <c:crossesAt val="0"/>
        <c:crossBetween val="midCat"/>
        <c:majorUnit val="1"/>
      </c:valAx>
      <c:spPr>
        <a:noFill/>
        <a:ln w="12600">
          <a:solidFill>
            <a:srgbClr val="808080"/>
          </a:solidFill>
          <a:round/>
        </a:ln>
      </c:spPr>
    </c:plotArea>
    <c:plotVisOnly val="1"/>
    <c:dispBlanksAs val="gap"/>
    <c:showDLblsOverMax val="1"/>
  </c:chart>
  <c:spPr>
    <a:solidFill>
      <a:srgbClr val="FFFFFF"/>
    </a:solidFill>
    <a:ln w="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52560</xdr:colOff>
      <xdr:row>7</xdr:row>
      <xdr:rowOff>181440</xdr:rowOff>
    </xdr:from>
    <xdr:to>
      <xdr:col>4</xdr:col>
      <xdr:colOff>2032</xdr:colOff>
      <xdr:row>21</xdr:row>
      <xdr:rowOff>181440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31320</xdr:colOff>
      <xdr:row>7</xdr:row>
      <xdr:rowOff>181440</xdr:rowOff>
    </xdr:from>
    <xdr:to>
      <xdr:col>6</xdr:col>
      <xdr:colOff>391</xdr:colOff>
      <xdr:row>21</xdr:row>
      <xdr:rowOff>181440</xdr:rowOff>
    </xdr:to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41760</xdr:colOff>
      <xdr:row>7</xdr:row>
      <xdr:rowOff>181440</xdr:rowOff>
    </xdr:from>
    <xdr:to>
      <xdr:col>2</xdr:col>
      <xdr:colOff>426769</xdr:colOff>
      <xdr:row>21</xdr:row>
      <xdr:rowOff>190440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10440</xdr:colOff>
      <xdr:row>22</xdr:row>
      <xdr:rowOff>28800</xdr:rowOff>
    </xdr:from>
    <xdr:to>
      <xdr:col>4</xdr:col>
      <xdr:colOff>4852</xdr:colOff>
      <xdr:row>36</xdr:row>
      <xdr:rowOff>19081</xdr:rowOff>
    </xdr:to>
    <xdr:graphicFrame macro="">
      <xdr:nvGraphicFramePr>
        <xdr:cNvPr id="5" name="Chart 9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22</xdr:row>
      <xdr:rowOff>0</xdr:rowOff>
    </xdr:from>
    <xdr:to>
      <xdr:col>7</xdr:col>
      <xdr:colOff>381000</xdr:colOff>
      <xdr:row>23</xdr:row>
      <xdr:rowOff>160020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04E445-454A-E6D9-B8AA-E924BFD5A4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83140" y="4960620"/>
          <a:ext cx="381000" cy="388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22</xdr:row>
      <xdr:rowOff>0</xdr:rowOff>
    </xdr:from>
    <xdr:to>
      <xdr:col>8</xdr:col>
      <xdr:colOff>975360</xdr:colOff>
      <xdr:row>23</xdr:row>
      <xdr:rowOff>160020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EDE2616-8387-3631-A955-FD177C086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0940" y="4960620"/>
          <a:ext cx="975360" cy="388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44"/>
  <sheetViews>
    <sheetView tabSelected="1" zoomScale="67" zoomScaleNormal="88" workbookViewId="0">
      <selection activeCell="F5" sqref="F5"/>
    </sheetView>
  </sheetViews>
  <sheetFormatPr defaultColWidth="21.109375" defaultRowHeight="18" customHeight="1"/>
  <cols>
    <col min="1" max="1" width="14.88671875" style="1" customWidth="1"/>
    <col min="2" max="2" width="21.109375" style="2"/>
    <col min="3" max="3" width="21.109375" style="3"/>
    <col min="4" max="5" width="21.109375" style="4"/>
    <col min="6" max="6" width="23.6640625" style="4" customWidth="1"/>
    <col min="7" max="257" width="21.109375" style="4"/>
  </cols>
  <sheetData>
    <row r="1" spans="1:257" ht="18.600000000000001" thickBot="1">
      <c r="A1" s="66" t="s">
        <v>0</v>
      </c>
      <c r="B1" s="67" t="s">
        <v>15</v>
      </c>
      <c r="C1" s="67" t="s">
        <v>2</v>
      </c>
      <c r="D1" s="67" t="s">
        <v>3</v>
      </c>
      <c r="E1" s="67" t="s">
        <v>4</v>
      </c>
      <c r="F1" s="1"/>
      <c r="G1" s="1"/>
      <c r="H1" s="1" t="s">
        <v>14</v>
      </c>
      <c r="I1" s="37" t="s">
        <v>0</v>
      </c>
      <c r="J1" s="38" t="s">
        <v>1</v>
      </c>
      <c r="K1" s="39" t="s">
        <v>2</v>
      </c>
      <c r="L1" s="37" t="s">
        <v>3</v>
      </c>
      <c r="M1" s="37" t="s">
        <v>4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spans="1:257" ht="18.600000000000001" thickBot="1">
      <c r="A2" s="68" t="s">
        <v>5</v>
      </c>
      <c r="B2" s="69">
        <v>2.0579999999999998</v>
      </c>
      <c r="C2" s="69">
        <v>130</v>
      </c>
      <c r="D2" s="70">
        <v>-1.32</v>
      </c>
      <c r="E2" s="70">
        <v>1.58</v>
      </c>
      <c r="F2" s="10"/>
      <c r="G2" s="35">
        <v>30</v>
      </c>
      <c r="H2" s="10">
        <f>(G2/1000)*9.8</f>
        <v>0.29399999999999998</v>
      </c>
      <c r="I2" s="34" t="s">
        <v>5</v>
      </c>
      <c r="J2" s="63">
        <v>150</v>
      </c>
      <c r="K2" s="63">
        <v>0</v>
      </c>
      <c r="L2" s="40">
        <v>-134.98539803417327</v>
      </c>
      <c r="M2" s="40">
        <v>160.86933305498539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  <c r="EP2" s="10"/>
      <c r="EQ2" s="10"/>
      <c r="ER2" s="10"/>
      <c r="ES2" s="10"/>
      <c r="ET2" s="10"/>
      <c r="EU2" s="10"/>
      <c r="EV2" s="10"/>
      <c r="EW2" s="10"/>
      <c r="EX2" s="10"/>
      <c r="EY2" s="10"/>
      <c r="EZ2" s="10"/>
      <c r="FA2" s="10"/>
      <c r="FB2" s="10"/>
      <c r="FC2" s="10"/>
      <c r="FD2" s="10"/>
      <c r="FE2" s="10"/>
      <c r="FF2" s="10"/>
      <c r="FG2" s="10"/>
      <c r="FH2" s="10"/>
      <c r="FI2" s="10"/>
      <c r="FJ2" s="10"/>
      <c r="FK2" s="10"/>
      <c r="FL2" s="10"/>
      <c r="FM2" s="10"/>
      <c r="FN2" s="10"/>
      <c r="FO2" s="10"/>
      <c r="FP2" s="10"/>
      <c r="FQ2" s="10"/>
      <c r="FR2" s="10"/>
      <c r="FS2" s="10"/>
      <c r="FT2" s="10"/>
      <c r="FU2" s="10"/>
      <c r="FV2" s="10"/>
      <c r="FW2" s="10"/>
      <c r="FX2" s="10"/>
      <c r="FY2" s="10"/>
      <c r="FZ2" s="10"/>
      <c r="GA2" s="10"/>
      <c r="GB2" s="10"/>
      <c r="GC2" s="10"/>
      <c r="GD2" s="10"/>
      <c r="GE2" s="10"/>
      <c r="GF2" s="10"/>
      <c r="GG2" s="10"/>
      <c r="GH2" s="10"/>
      <c r="GI2" s="10"/>
      <c r="GJ2" s="10"/>
      <c r="GK2" s="10"/>
      <c r="GL2" s="10"/>
      <c r="GM2" s="10"/>
      <c r="GN2" s="10"/>
      <c r="GO2" s="10"/>
      <c r="GP2" s="10"/>
      <c r="GQ2" s="10"/>
      <c r="GR2" s="10"/>
      <c r="GS2" s="10"/>
      <c r="GT2" s="10"/>
      <c r="GU2" s="10"/>
      <c r="GV2" s="10"/>
      <c r="GW2" s="10"/>
      <c r="GX2" s="10"/>
      <c r="GY2" s="10"/>
      <c r="GZ2" s="10"/>
      <c r="HA2" s="10"/>
      <c r="HB2" s="10"/>
      <c r="HC2" s="10"/>
      <c r="HD2" s="10"/>
      <c r="HE2" s="10"/>
      <c r="HF2" s="10"/>
      <c r="HG2" s="10"/>
      <c r="HH2" s="10"/>
      <c r="HI2" s="10"/>
      <c r="HJ2" s="10"/>
      <c r="HK2" s="10"/>
      <c r="HL2" s="10"/>
      <c r="HM2" s="10"/>
      <c r="HN2" s="10"/>
      <c r="HO2" s="10"/>
      <c r="HP2" s="10"/>
      <c r="HQ2" s="10"/>
      <c r="HR2" s="10"/>
      <c r="HS2" s="10"/>
      <c r="HT2" s="10"/>
      <c r="HU2" s="10"/>
      <c r="HV2" s="10"/>
      <c r="HW2" s="10"/>
      <c r="HX2" s="10"/>
      <c r="HY2" s="10"/>
      <c r="HZ2" s="10"/>
      <c r="IA2" s="10"/>
      <c r="IB2" s="10"/>
      <c r="IC2" s="10"/>
      <c r="ID2" s="10"/>
      <c r="IE2" s="10"/>
      <c r="IF2" s="10"/>
      <c r="IG2" s="10"/>
      <c r="IH2" s="10"/>
      <c r="II2" s="10"/>
      <c r="IJ2" s="10"/>
      <c r="IK2" s="10"/>
      <c r="IL2" s="10"/>
      <c r="IM2" s="10"/>
      <c r="IN2" s="10"/>
      <c r="IO2" s="10"/>
      <c r="IP2" s="10"/>
      <c r="IQ2" s="10"/>
      <c r="IR2" s="10"/>
      <c r="IS2" s="10"/>
      <c r="IT2" s="10"/>
      <c r="IU2" s="10"/>
      <c r="IV2" s="10"/>
      <c r="IW2" s="10"/>
    </row>
    <row r="3" spans="1:257" ht="18.600000000000001" thickBot="1">
      <c r="A3" s="68" t="s">
        <v>6</v>
      </c>
      <c r="B3" s="69">
        <v>2.4500000000000002</v>
      </c>
      <c r="C3" s="69">
        <v>340</v>
      </c>
      <c r="D3" s="70">
        <v>2.2999999999999998</v>
      </c>
      <c r="E3" s="70">
        <v>-0.84</v>
      </c>
      <c r="F3" s="10"/>
      <c r="G3" s="33">
        <v>4</v>
      </c>
      <c r="I3" s="34" t="s">
        <v>6</v>
      </c>
      <c r="J3" s="63">
        <v>200</v>
      </c>
      <c r="K3" s="63">
        <v>90</v>
      </c>
      <c r="L3" s="40">
        <v>234.92315519647701</v>
      </c>
      <c r="M3" s="40">
        <v>-85.505035831417359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</row>
    <row r="4" spans="1:257" ht="18.600000000000001" thickBot="1">
      <c r="A4" s="68" t="s">
        <v>7</v>
      </c>
      <c r="B4" s="69">
        <v>1.2266999999999999</v>
      </c>
      <c r="C4" s="69">
        <v>217.02</v>
      </c>
      <c r="D4" s="70">
        <v>-0.98</v>
      </c>
      <c r="E4" s="70">
        <v>-0.74</v>
      </c>
      <c r="I4" s="34" t="s">
        <v>7</v>
      </c>
      <c r="J4" s="65">
        <v>125.16921587448687</v>
      </c>
      <c r="K4" s="65">
        <v>217.02039733055338</v>
      </c>
      <c r="L4" s="40">
        <v>-99.93775716230374</v>
      </c>
      <c r="M4" s="40">
        <v>-75.36429722356803</v>
      </c>
    </row>
    <row r="5" spans="1:257" ht="18.600000000000001" thickBot="1">
      <c r="A5" s="68" t="s">
        <v>8</v>
      </c>
      <c r="B5" s="69">
        <v>1.1956</v>
      </c>
      <c r="C5" s="69">
        <v>215</v>
      </c>
      <c r="D5" s="71" t="s">
        <v>9</v>
      </c>
      <c r="E5" s="72"/>
      <c r="F5" s="31"/>
      <c r="I5" s="34" t="s">
        <v>8</v>
      </c>
      <c r="J5" s="64">
        <v>122</v>
      </c>
      <c r="K5" s="63">
        <v>215</v>
      </c>
      <c r="L5" s="41" t="s">
        <v>9</v>
      </c>
      <c r="M5" s="42"/>
    </row>
    <row r="6" spans="1:257" ht="18.600000000000001" thickBot="1">
      <c r="A6" s="68" t="s">
        <v>10</v>
      </c>
      <c r="B6" s="70">
        <v>0.04</v>
      </c>
      <c r="C6" s="70">
        <v>2.02</v>
      </c>
      <c r="D6" s="71" t="s">
        <v>9</v>
      </c>
      <c r="E6" s="72"/>
      <c r="F6" s="31"/>
      <c r="I6" s="34" t="s">
        <v>10</v>
      </c>
      <c r="J6" s="40">
        <v>3.1692158744868664</v>
      </c>
      <c r="K6" s="40">
        <v>2.0203973305533793</v>
      </c>
      <c r="L6" s="43" t="s">
        <v>9</v>
      </c>
      <c r="M6" s="42"/>
    </row>
    <row r="7" spans="1:257" ht="18.600000000000001" thickBot="1">
      <c r="A7" s="68" t="s">
        <v>11</v>
      </c>
      <c r="B7" s="70">
        <v>3.03</v>
      </c>
      <c r="C7" s="71"/>
      <c r="D7" s="71" t="s">
        <v>9</v>
      </c>
      <c r="E7" s="72"/>
      <c r="F7" s="15"/>
      <c r="G7" s="10">
        <v>30</v>
      </c>
      <c r="H7" s="15"/>
      <c r="I7" s="34" t="s">
        <v>11</v>
      </c>
      <c r="J7" s="44">
        <v>2.5644098625099025</v>
      </c>
      <c r="K7" s="46"/>
      <c r="L7" s="45" t="s">
        <v>9</v>
      </c>
      <c r="M7" s="4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/>
      <c r="GH7" s="15"/>
      <c r="GI7" s="15"/>
      <c r="GJ7" s="15"/>
      <c r="GK7" s="15"/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/>
      <c r="HC7" s="15"/>
      <c r="HD7" s="15"/>
      <c r="HE7" s="15"/>
      <c r="HF7" s="15"/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/>
      <c r="HX7" s="15"/>
      <c r="HY7" s="15"/>
      <c r="HZ7" s="15"/>
      <c r="IA7" s="15"/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/>
      <c r="IS7" s="15"/>
      <c r="IT7" s="15"/>
      <c r="IU7" s="15"/>
      <c r="IV7" s="15"/>
      <c r="IW7" s="15"/>
    </row>
    <row r="8" spans="1:257" ht="18" customHeight="1">
      <c r="D8" s="31"/>
      <c r="E8" s="31"/>
      <c r="G8" s="4" t="s">
        <v>12</v>
      </c>
    </row>
    <row r="10" spans="1:257" ht="17.399999999999999">
      <c r="A10" s="3">
        <f>D2</f>
        <v>-1.32</v>
      </c>
      <c r="B10" s="3">
        <f>E2</f>
        <v>1.58</v>
      </c>
      <c r="C10" s="3">
        <f>D3</f>
        <v>2.2999999999999998</v>
      </c>
      <c r="D10" s="3">
        <f>E3</f>
        <v>-0.84</v>
      </c>
      <c r="E10" s="3">
        <f>D4</f>
        <v>-0.98</v>
      </c>
      <c r="F10" s="3">
        <f>E4</f>
        <v>-0.74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</row>
    <row r="11" spans="1:257" ht="17.399999999999999">
      <c r="A11" s="3">
        <v>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2"/>
      <c r="J11" s="47"/>
      <c r="K11" s="47"/>
      <c r="L11" s="47"/>
      <c r="M11" s="47"/>
      <c r="N11" s="47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</row>
    <row r="12" spans="1:257" ht="18" customHeight="1">
      <c r="G12" s="33">
        <v>20</v>
      </c>
      <c r="I12" s="48"/>
      <c r="J12" s="49"/>
      <c r="K12" s="50"/>
      <c r="L12" s="48"/>
      <c r="M12" s="48"/>
      <c r="N12" s="36"/>
    </row>
    <row r="13" spans="1:257" ht="18" customHeight="1">
      <c r="G13" s="33" t="s">
        <v>13</v>
      </c>
      <c r="I13" s="51"/>
      <c r="J13" s="60"/>
      <c r="K13" s="60"/>
      <c r="L13" s="52"/>
      <c r="M13" s="52"/>
      <c r="N13" s="36"/>
    </row>
    <row r="14" spans="1:257" ht="18" customHeight="1">
      <c r="I14" s="51"/>
      <c r="J14" s="60"/>
      <c r="K14" s="60"/>
      <c r="L14" s="52"/>
      <c r="M14" s="52"/>
      <c r="N14" s="36"/>
    </row>
    <row r="15" spans="1:257" ht="18" customHeight="1">
      <c r="I15" s="51"/>
      <c r="J15" s="61"/>
      <c r="K15" s="61"/>
      <c r="L15" s="53"/>
      <c r="M15" s="53"/>
      <c r="N15" s="36"/>
    </row>
    <row r="16" spans="1:257" ht="18" customHeight="1">
      <c r="I16" s="51"/>
      <c r="J16" s="62"/>
      <c r="K16" s="60"/>
      <c r="L16" s="54"/>
      <c r="M16" s="54"/>
      <c r="N16" s="36"/>
    </row>
    <row r="17" spans="8:14" ht="18" customHeight="1">
      <c r="H17" s="58"/>
      <c r="I17" s="59"/>
      <c r="J17" s="53"/>
      <c r="K17" s="53"/>
      <c r="L17" s="54"/>
      <c r="M17" s="54"/>
      <c r="N17" s="36"/>
    </row>
    <row r="18" spans="8:14" ht="18" customHeight="1">
      <c r="H18" s="58"/>
      <c r="I18" s="59"/>
      <c r="J18" s="55"/>
      <c r="K18" s="56"/>
      <c r="L18" s="57"/>
      <c r="M18" s="57"/>
      <c r="N18" s="36"/>
    </row>
    <row r="19" spans="8:14" ht="18" customHeight="1">
      <c r="H19" s="58"/>
      <c r="I19" s="58"/>
    </row>
    <row r="22" spans="8:14" ht="18" customHeight="1">
      <c r="I22" s="4" t="s">
        <v>1</v>
      </c>
      <c r="J22" s="4" t="s">
        <v>2</v>
      </c>
    </row>
    <row r="23" spans="8:14" ht="18" customHeight="1">
      <c r="H23"/>
      <c r="I23"/>
      <c r="J23"/>
    </row>
    <row r="37" spans="1:257" ht="17.399999999999999">
      <c r="A37" s="16">
        <v>4</v>
      </c>
    </row>
    <row r="38" spans="1:257">
      <c r="A38" s="5" t="s">
        <v>0</v>
      </c>
      <c r="B38" s="6" t="s">
        <v>1</v>
      </c>
      <c r="C38" s="7" t="s">
        <v>2</v>
      </c>
      <c r="D38" s="5" t="s">
        <v>3</v>
      </c>
      <c r="E38" s="5" t="s">
        <v>4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7"/>
      <c r="HB38" s="17"/>
      <c r="HC38" s="17"/>
      <c r="HD38" s="17"/>
      <c r="HE38" s="17"/>
      <c r="HF38" s="17"/>
      <c r="HG38" s="17"/>
      <c r="HH38" s="17"/>
      <c r="HI38" s="17"/>
      <c r="HJ38" s="17"/>
      <c r="HK38" s="17"/>
      <c r="HL38" s="17"/>
      <c r="HM38" s="17"/>
      <c r="HN38" s="17"/>
      <c r="HO38" s="17"/>
      <c r="HP38" s="17"/>
      <c r="HQ38" s="17"/>
      <c r="HR38" s="17"/>
      <c r="HS38" s="17"/>
      <c r="HT38" s="17"/>
      <c r="HU38" s="17"/>
      <c r="HV38" s="17"/>
      <c r="HW38" s="17"/>
      <c r="HX38" s="17"/>
      <c r="HY38" s="17"/>
      <c r="HZ38" s="17"/>
      <c r="IA38" s="17"/>
      <c r="IB38" s="17"/>
      <c r="IC38" s="17"/>
      <c r="ID38" s="17"/>
      <c r="IE38" s="17"/>
      <c r="IF38" s="17"/>
      <c r="IG38" s="17"/>
      <c r="IH38" s="17"/>
      <c r="II38" s="17"/>
      <c r="IJ38" s="17"/>
      <c r="IK38" s="17"/>
      <c r="IL38" s="17"/>
      <c r="IM38" s="17"/>
      <c r="IN38" s="17"/>
      <c r="IO38" s="17"/>
      <c r="IP38" s="17"/>
      <c r="IQ38" s="17"/>
      <c r="IR38" s="17"/>
      <c r="IS38" s="17"/>
      <c r="IT38" s="17"/>
      <c r="IU38" s="17"/>
      <c r="IV38" s="17"/>
      <c r="IW38" s="17"/>
    </row>
    <row r="39" spans="1:257" ht="17.399999999999999">
      <c r="A39" s="8" t="s">
        <v>5</v>
      </c>
      <c r="B39" s="9">
        <v>210</v>
      </c>
      <c r="C39" s="9">
        <v>130</v>
      </c>
      <c r="D39" s="18">
        <f>B39*COS(C39/180*PI())</f>
        <v>-134.98539803417327</v>
      </c>
      <c r="E39" s="18">
        <f>B39*SIN(C39/180*PI())</f>
        <v>160.86933305498539</v>
      </c>
    </row>
    <row r="40" spans="1:257" ht="17.399999999999999">
      <c r="A40" s="8" t="s">
        <v>6</v>
      </c>
      <c r="B40" s="9">
        <v>250</v>
      </c>
      <c r="C40" s="9">
        <v>340</v>
      </c>
      <c r="D40" s="18">
        <f>B40*COS(C40/180*PI())</f>
        <v>234.92315519647701</v>
      </c>
      <c r="E40" s="18">
        <f>B40*SIN(C40/180*PI())</f>
        <v>-85.505035831417359</v>
      </c>
      <c r="F40" s="4">
        <v>20</v>
      </c>
    </row>
    <row r="41" spans="1:257" ht="17.399999999999999">
      <c r="A41" s="8" t="s">
        <v>7</v>
      </c>
      <c r="B41" s="11">
        <f>(D41^2+E41^2)^0.5</f>
        <v>125.16921587448687</v>
      </c>
      <c r="C41" s="11">
        <f>IF(D41&lt;0,(IF(E41&lt;0,ATAN(E41/D41)*57.693+180,ATAN(E41/D41)*57.693+180)),(IF(E41&lt;0,ATAN(E41/D41)*57.693+360,ATAN(E41/D41)*57.693)))</f>
        <v>217.2770525393401</v>
      </c>
      <c r="D41" s="13">
        <f>-D39-D40</f>
        <v>-99.93775716230374</v>
      </c>
      <c r="E41" s="13">
        <f>-E39-E40</f>
        <v>-75.36429722356803</v>
      </c>
      <c r="F41" s="4" t="s">
        <v>13</v>
      </c>
    </row>
    <row r="42" spans="1:257" ht="17.399999999999999">
      <c r="A42" s="8" t="s">
        <v>8</v>
      </c>
      <c r="B42" s="12">
        <v>122</v>
      </c>
      <c r="C42" s="9">
        <v>215</v>
      </c>
      <c r="D42" s="14" t="s">
        <v>9</v>
      </c>
      <c r="E42" s="14"/>
    </row>
    <row r="43" spans="1:257" ht="17.399999999999999">
      <c r="A43" s="8" t="s">
        <v>10</v>
      </c>
      <c r="B43" s="11">
        <f>B41-B42</f>
        <v>3.1692158744868664</v>
      </c>
      <c r="C43" s="11">
        <f>C41-C42</f>
        <v>2.2770525393401044</v>
      </c>
      <c r="D43" s="14" t="s">
        <v>9</v>
      </c>
      <c r="E43" s="14"/>
    </row>
    <row r="44" spans="1:257" ht="17.399999999999999">
      <c r="A44" s="8" t="s">
        <v>11</v>
      </c>
      <c r="B44" s="11">
        <f>ABS((B42-B41)/((B42+B41)/2))*100</f>
        <v>2.5644098625099025</v>
      </c>
      <c r="C44" s="19"/>
      <c r="D44" s="14" t="s">
        <v>9</v>
      </c>
      <c r="E44" s="14"/>
    </row>
  </sheetData>
  <printOptions headings="1" gridLines="1"/>
  <pageMargins left="1.47986111111111" right="0.75" top="1.0902777777777799" bottom="0.55000000000000004" header="0.72013888888888899" footer="0.5"/>
  <pageSetup scale="70" orientation="landscape" horizontalDpi="300" verticalDpi="300"/>
  <headerFooter>
    <oddHeader>&amp;C&amp;F &amp;D &amp;T</oddHeader>
    <oddFooter>&amp;C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7"/>
  <sheetViews>
    <sheetView topLeftCell="C1" zoomScale="50" zoomScaleNormal="50" workbookViewId="0">
      <selection activeCell="C1" sqref="C1:C6"/>
    </sheetView>
  </sheetViews>
  <sheetFormatPr defaultColWidth="11.44140625" defaultRowHeight="12.75" customHeight="1"/>
  <cols>
    <col min="1" max="1" width="5.109375" customWidth="1"/>
    <col min="2" max="2" width="19.6640625" style="20" customWidth="1"/>
    <col min="3" max="3" width="89.21875" customWidth="1"/>
    <col min="4" max="4" width="15.6640625" style="20" customWidth="1"/>
    <col min="5" max="5" width="15.44140625" style="20" customWidth="1"/>
  </cols>
  <sheetData>
    <row r="1" spans="1:5" ht="17.399999999999999">
      <c r="A1" s="1" t="s">
        <v>0</v>
      </c>
      <c r="B1" s="21" t="s">
        <v>1</v>
      </c>
      <c r="C1" s="22" t="s">
        <v>2</v>
      </c>
      <c r="D1" s="23" t="s">
        <v>3</v>
      </c>
      <c r="E1" s="23" t="s">
        <v>4</v>
      </c>
    </row>
    <row r="2" spans="1:5" ht="17.399999999999999">
      <c r="A2" s="1" t="s">
        <v>5</v>
      </c>
      <c r="B2" s="24">
        <v>2.94</v>
      </c>
      <c r="C2" s="25">
        <v>300</v>
      </c>
      <c r="D2" s="21">
        <f>B2*COS(C2/180*3.1416)</f>
        <v>1.4700311745613521</v>
      </c>
      <c r="E2" s="21">
        <f>B2*SIN(C2/180*3.1416)</f>
        <v>-2.5460966882303921</v>
      </c>
    </row>
    <row r="3" spans="1:5" ht="17.399999999999999">
      <c r="A3" s="1" t="s">
        <v>6</v>
      </c>
      <c r="B3" s="24">
        <v>3.92</v>
      </c>
      <c r="C3" s="25">
        <v>320</v>
      </c>
      <c r="D3" s="21">
        <f>B3*COS(C3/180*3.1416)</f>
        <v>3.0029271251281724</v>
      </c>
      <c r="E3" s="21">
        <f>B3*SIN(C3/180*3.1416)</f>
        <v>-2.519688211102606</v>
      </c>
    </row>
    <row r="4" spans="1:5" ht="17.399999999999999">
      <c r="A4" s="1" t="s">
        <v>7</v>
      </c>
      <c r="B4" s="26">
        <f>(D4^2+E4^2)^0.5</f>
        <v>6.7579236897934587</v>
      </c>
      <c r="C4" s="27">
        <f>IF(D4&lt;0,(IF(E4&lt;0,ATAN(E4/D4)*57.693+180,ATAN(E4/D4)*57.693+180)),(IF(E4&lt;0,ATAN(E4/D4)*57.693+360,ATAN(E4/D4)*57.693)))</f>
        <v>131.1070476696222</v>
      </c>
      <c r="D4" s="26">
        <f>-D2-D3</f>
        <v>-4.472958299689525</v>
      </c>
      <c r="E4" s="26">
        <f>-E2-E3</f>
        <v>5.0657848993329981</v>
      </c>
    </row>
    <row r="5" spans="1:5" ht="17.399999999999999">
      <c r="A5" s="1" t="s">
        <v>8</v>
      </c>
      <c r="B5" s="28">
        <v>4.8</v>
      </c>
      <c r="C5" s="29">
        <v>131</v>
      </c>
      <c r="D5" s="20" t="s">
        <v>9</v>
      </c>
    </row>
    <row r="6" spans="1:5" ht="17.399999999999999">
      <c r="A6" s="1" t="s">
        <v>10</v>
      </c>
      <c r="B6" s="26">
        <f>B4-B5</f>
        <v>1.9579236897934589</v>
      </c>
      <c r="C6" s="30">
        <f>C4-C5</f>
        <v>0.10704766962220447</v>
      </c>
      <c r="D6" s="20" t="s">
        <v>9</v>
      </c>
    </row>
    <row r="7" spans="1:5" ht="17.399999999999999">
      <c r="A7" s="1" t="s">
        <v>11</v>
      </c>
      <c r="B7" s="26">
        <f>ABS((B5-B4)/((B5+B4)/2))*100</f>
        <v>33.880197556979155</v>
      </c>
      <c r="C7" s="26" t="s">
        <v>9</v>
      </c>
      <c r="D7" s="20" t="s">
        <v>9</v>
      </c>
    </row>
  </sheetData>
  <printOptions headings="1" gridLines="1"/>
  <pageMargins left="0.75" right="0.75" top="1" bottom="1" header="0.5" footer="0.511811023622047"/>
  <pageSetup paperSize="9" orientation="landscape" horizontalDpi="300" verticalDpi="300"/>
  <headerFooter>
    <oddHeader>&amp;C&amp;A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04-Forces and Vectors Lab</vt:lpstr>
      <vt:lpstr>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Peason_Nguyen</cp:lastModifiedBy>
  <dcterms:modified xsi:type="dcterms:W3CDTF">2026-10-01T05:28:43Z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1999-08-21T15:41:04Z</dcterms:created>
  <dc:creator>Ann Marie Eligon</dc:creator>
  <dc:language>en-US</dc:language>
  <cp:lastModifiedBy>AnnMarie Eligon</cp:lastModifiedBy>
  <cp:lastPrinted>2001-09-18T19:04:50Z</cp:lastPrinted>
  <dcterms:modified xsi:type="dcterms:W3CDTF">2023-07-26T02:51:22Z</dcterms:modified>
  <cp:revision>0</cp:revision>
  <dc:title>Force, Magnitude, and Direction Table</dc:title>
</cp:coreProperties>
</file>